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401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<sst xmlns="http://schemas.openxmlformats.org/spreadsheetml/2006/main" count="84" uniqueCount="51">
  <si>
    <t>Vitamin E + C + Ferulic Serum (Serum de Jour)</t>
  </si>
  <si>
    <t>Directions</t>
  </si>
  <si>
    <t>Ingredients:</t>
  </si>
  <si>
    <t>Volume</t>
  </si>
  <si>
    <t>Organic</t>
  </si>
  <si>
    <t>Melt in double</t>
  </si>
  <si>
    <t>Olive oil</t>
  </si>
  <si>
    <t>ml</t>
  </si>
  <si>
    <t>x</t>
  </si>
  <si>
    <t>boiler</t>
  </si>
  <si>
    <t>lecithin</t>
  </si>
  <si>
    <t>Combine and blend</t>
  </si>
  <si>
    <t>Green tea</t>
  </si>
  <si>
    <t>Neroli Hydrosol</t>
  </si>
  <si>
    <t>lavender hydrosol</t>
  </si>
  <si>
    <t>Olive Oil</t>
  </si>
  <si>
    <t>vitc isodecane</t>
  </si>
  <si>
    <t>vit E</t>
  </si>
  <si>
    <t>sodium salicylate</t>
  </si>
  <si>
    <t>ferulic acid</t>
  </si>
  <si>
    <t>glucosamine HCL</t>
  </si>
  <si>
    <t>niacinamide</t>
  </si>
  <si>
    <t>potassium sorbate</t>
  </si>
  <si>
    <t>kakadu plum extract</t>
  </si>
  <si>
    <t>beta glucan</t>
  </si>
  <si>
    <t>GOS</t>
  </si>
  <si>
    <t>coenzyne 10</t>
  </si>
  <si>
    <t>Combine and</t>
  </si>
  <si>
    <t>leucidal</t>
  </si>
  <si>
    <t>blend</t>
  </si>
  <si>
    <t>aspen bark</t>
  </si>
  <si>
    <t>Biomarine moisture complex</t>
  </si>
  <si>
    <t>Add melted olive oil</t>
  </si>
  <si>
    <t>and lecithin</t>
  </si>
  <si>
    <t>Add and blend</t>
  </si>
  <si>
    <t>xantham gum</t>
  </si>
  <si>
    <t>lycopene</t>
  </si>
  <si>
    <t>2 drops</t>
  </si>
  <si>
    <t>astaxathin</t>
  </si>
  <si>
    <t>1 cap</t>
  </si>
  <si>
    <t>helichysum eo</t>
  </si>
  <si>
    <t>citrus eo</t>
  </si>
  <si>
    <t>tumeric eo</t>
  </si>
  <si>
    <t>lavender eo</t>
  </si>
  <si>
    <t>30 drops</t>
  </si>
  <si>
    <t>Total Volume per Batch</t>
  </si>
  <si>
    <t>Yield (1 fl oz)</t>
  </si>
  <si>
    <t>Yield 90%</t>
  </si>
  <si>
    <t>Organic Volume</t>
  </si>
  <si>
    <t>% Organic</t>
  </si>
  <si>
    <t>29 Ingredients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</si>
</sst>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0%"/>
  </numFmts>
  <fonts count="10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000000"/>
      <name val="Arial"/>
      <family val="2"/>
      <charset val="1"/>
    </font>
    <font>
      <b val="true"/>
      <sz val="15"/>
      <name val="Cambria"/>
      <family val="1"/>
      <charset val="1"/>
    </font>
    <font>
      <b val="true"/>
      <sz val="15"/>
      <color rgb="FF000000"/>
      <name val="Arial"/>
      <family val="2"/>
      <charset val="1"/>
    </font>
    <font>
      <sz val="15"/>
      <color rgb="FFEEEEEE"/>
      <name val="Arial"/>
      <family val="2"/>
      <charset val="1"/>
    </font>
    <font>
      <sz val="15"/>
      <name val="Cambria"/>
      <family val="1"/>
      <charset val="1"/>
    </font>
    <font>
      <b val="true"/>
      <i val="true"/>
      <sz val="15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8"/>
  <sheetViews>
    <sheetView windowProtection="false"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C29" activeCellId="0" sqref="C29"/>
    </sheetView>
  </sheetViews>
  <sheetFormatPr defaultRowHeight="12.8"/>
  <cols>
    <col collapsed="false" hidden="false" max="1" min="1" style="1" width="3.60714285714286"/>
    <col collapsed="false" hidden="false" max="2" min="2" style="0" width="25.4234693877551"/>
    <col collapsed="false" hidden="false" max="3" min="3" style="0" width="41.6785714285714"/>
    <col collapsed="false" hidden="false" max="4" min="4" style="0" width="14.4285714285714"/>
    <col collapsed="false" hidden="false" max="5" min="5" style="0" width="13.6173469387755"/>
    <col collapsed="false" hidden="false" max="1025" min="6" style="0" width="14.4285714285714"/>
  </cols>
  <sheetData>
    <row r="1" customFormat="false" ht="18.55" hidden="false" customHeight="false" outlineLevel="0" collapsed="false">
      <c r="A1" s="0"/>
      <c r="B1" s="2" t="s">
        <v>0</v>
      </c>
      <c r="C1" s="3"/>
      <c r="D1" s="3"/>
      <c r="E1" s="3"/>
      <c r="F1" s="3"/>
    </row>
    <row r="2" customFormat="false" ht="15.75" hidden="false" customHeight="true" outlineLevel="0" collapsed="false">
      <c r="A2" s="0"/>
      <c r="B2" s="3"/>
      <c r="C2" s="3"/>
      <c r="D2" s="3"/>
      <c r="E2" s="3"/>
      <c r="F2" s="3"/>
    </row>
    <row r="3" customFormat="false" ht="18.55" hidden="false" customHeight="false" outlineLevel="0" collapsed="false">
      <c r="A3" s="0"/>
      <c r="B3" s="3" t="s">
        <v>1</v>
      </c>
      <c r="C3" s="3" t="s">
        <v>2</v>
      </c>
      <c r="D3" s="3" t="s">
        <v>3</v>
      </c>
      <c r="E3" s="3"/>
      <c r="F3" s="3" t="s">
        <v>4</v>
      </c>
    </row>
    <row r="4" customFormat="false" ht="18.55" hidden="false" customHeight="false" outlineLevel="0" collapsed="false">
      <c r="A4" s="1" t="n">
        <v>1</v>
      </c>
      <c r="B4" s="4" t="s">
        <v>5</v>
      </c>
      <c r="C4" s="4" t="s">
        <v>6</v>
      </c>
      <c r="D4" s="4" t="n">
        <v>10</v>
      </c>
      <c r="E4" s="4" t="s">
        <v>7</v>
      </c>
      <c r="F4" s="1" t="s">
        <v>8</v>
      </c>
    </row>
    <row r="5" customFormat="false" ht="18.55" hidden="false" customHeight="false" outlineLevel="0" collapsed="false">
      <c r="A5" s="0"/>
      <c r="B5" s="4" t="s">
        <v>9</v>
      </c>
      <c r="C5" s="4" t="s">
        <v>10</v>
      </c>
      <c r="D5" s="4" t="n">
        <v>5</v>
      </c>
      <c r="E5" s="4" t="s">
        <v>7</v>
      </c>
      <c r="F5" s="4"/>
    </row>
    <row r="6" customFormat="false" ht="18.55" hidden="false" customHeight="false" outlineLevel="0" collapsed="false">
      <c r="A6" s="0"/>
      <c r="B6" s="4"/>
      <c r="C6" s="4"/>
      <c r="D6" s="4"/>
      <c r="E6" s="4"/>
      <c r="F6" s="1"/>
    </row>
    <row r="7" customFormat="false" ht="18.55" hidden="false" customHeight="false" outlineLevel="0" collapsed="false">
      <c r="A7" s="1" t="n">
        <v>2</v>
      </c>
      <c r="B7" s="4" t="s">
        <v>11</v>
      </c>
      <c r="C7" s="4" t="s">
        <v>12</v>
      </c>
      <c r="D7" s="4" t="n">
        <v>500</v>
      </c>
      <c r="E7" s="4" t="s">
        <v>7</v>
      </c>
      <c r="F7" s="1" t="s">
        <v>8</v>
      </c>
    </row>
    <row r="8" customFormat="false" ht="18.55" hidden="false" customHeight="false" outlineLevel="0" collapsed="false">
      <c r="A8" s="0"/>
      <c r="B8" s="4"/>
      <c r="C8" s="4" t="s">
        <v>13</v>
      </c>
      <c r="D8" s="4" t="n">
        <v>250</v>
      </c>
      <c r="E8" s="4" t="s">
        <v>7</v>
      </c>
      <c r="F8" s="1"/>
    </row>
    <row r="9" customFormat="false" ht="18.55" hidden="false" customHeight="false" outlineLevel="0" collapsed="false">
      <c r="A9" s="0"/>
      <c r="B9" s="4"/>
      <c r="C9" s="4" t="s">
        <v>14</v>
      </c>
      <c r="D9" s="4" t="n">
        <v>250</v>
      </c>
      <c r="E9" s="4" t="s">
        <v>7</v>
      </c>
      <c r="F9" s="1" t="s">
        <v>8</v>
      </c>
    </row>
    <row r="10" customFormat="false" ht="18.55" hidden="false" customHeight="false" outlineLevel="0" collapsed="false">
      <c r="A10" s="0"/>
      <c r="B10" s="4"/>
      <c r="C10" s="4" t="s">
        <v>15</v>
      </c>
      <c r="D10" s="4" t="n">
        <v>90</v>
      </c>
      <c r="E10" s="4" t="s">
        <v>7</v>
      </c>
      <c r="F10" s="1" t="s">
        <v>8</v>
      </c>
    </row>
    <row r="11" customFormat="false" ht="18.55" hidden="false" customHeight="false" outlineLevel="0" collapsed="false">
      <c r="A11" s="0"/>
      <c r="B11" s="4"/>
      <c r="C11" s="4" t="s">
        <v>16</v>
      </c>
      <c r="D11" s="4" t="n">
        <v>40</v>
      </c>
      <c r="E11" s="4" t="s">
        <v>7</v>
      </c>
      <c r="F11" s="1"/>
    </row>
    <row r="12" customFormat="false" ht="18.55" hidden="false" customHeight="false" outlineLevel="0" collapsed="false">
      <c r="A12" s="0"/>
      <c r="B12" s="4"/>
      <c r="C12" s="4" t="s">
        <v>17</v>
      </c>
      <c r="D12" s="4" t="n">
        <v>15</v>
      </c>
      <c r="E12" s="4" t="s">
        <v>7</v>
      </c>
      <c r="F12" s="1" t="s">
        <v>8</v>
      </c>
    </row>
    <row r="13" customFormat="false" ht="18.55" hidden="false" customHeight="false" outlineLevel="0" collapsed="false">
      <c r="A13" s="0"/>
      <c r="B13" s="4"/>
      <c r="C13" s="4" t="s">
        <v>18</v>
      </c>
      <c r="D13" s="4" t="n">
        <v>5</v>
      </c>
      <c r="E13" s="4" t="s">
        <v>7</v>
      </c>
      <c r="F13" s="1"/>
    </row>
    <row r="14" customFormat="false" ht="18.55" hidden="false" customHeight="false" outlineLevel="0" collapsed="false">
      <c r="A14" s="0"/>
      <c r="B14" s="4"/>
      <c r="C14" s="4" t="s">
        <v>19</v>
      </c>
      <c r="D14" s="4" t="n">
        <v>5</v>
      </c>
      <c r="E14" s="4" t="s">
        <v>7</v>
      </c>
      <c r="F14" s="1"/>
    </row>
    <row r="15" customFormat="false" ht="18.55" hidden="false" customHeight="false" outlineLevel="0" collapsed="false">
      <c r="A15" s="0"/>
      <c r="B15" s="4"/>
      <c r="C15" s="4" t="s">
        <v>20</v>
      </c>
      <c r="D15" s="4" t="n">
        <v>5</v>
      </c>
      <c r="E15" s="4" t="s">
        <v>7</v>
      </c>
      <c r="F15" s="1"/>
    </row>
    <row r="16" customFormat="false" ht="18.55" hidden="false" customHeight="false" outlineLevel="0" collapsed="false">
      <c r="A16" s="0"/>
      <c r="B16" s="4"/>
      <c r="C16" s="4" t="s">
        <v>21</v>
      </c>
      <c r="D16" s="4" t="n">
        <v>5</v>
      </c>
      <c r="E16" s="4" t="s">
        <v>7</v>
      </c>
      <c r="F16" s="1"/>
    </row>
    <row r="17" customFormat="false" ht="18.55" hidden="false" customHeight="false" outlineLevel="0" collapsed="false">
      <c r="A17" s="0"/>
      <c r="B17" s="4"/>
      <c r="C17" s="4" t="s">
        <v>22</v>
      </c>
      <c r="D17" s="4" t="n">
        <v>2.5</v>
      </c>
      <c r="E17" s="4" t="s">
        <v>7</v>
      </c>
      <c r="F17" s="1"/>
    </row>
    <row r="18" customFormat="false" ht="18.55" hidden="false" customHeight="false" outlineLevel="0" collapsed="false">
      <c r="A18" s="0"/>
      <c r="B18" s="4"/>
      <c r="C18" s="4"/>
      <c r="D18" s="4"/>
      <c r="E18" s="4"/>
      <c r="F18" s="1"/>
    </row>
    <row r="19" customFormat="false" ht="18.55" hidden="false" customHeight="false" outlineLevel="0" collapsed="false">
      <c r="A19" s="0"/>
      <c r="B19" s="4"/>
      <c r="C19" s="4" t="s">
        <v>23</v>
      </c>
      <c r="D19" s="4" t="n">
        <v>1</v>
      </c>
      <c r="E19" s="4" t="s">
        <v>7</v>
      </c>
      <c r="F19" s="1"/>
    </row>
    <row r="20" customFormat="false" ht="18.55" hidden="false" customHeight="false" outlineLevel="0" collapsed="false">
      <c r="A20" s="0"/>
      <c r="B20" s="4"/>
      <c r="C20" s="4" t="s">
        <v>24</v>
      </c>
      <c r="D20" s="4" t="n">
        <v>0.5</v>
      </c>
      <c r="E20" s="4" t="s">
        <v>7</v>
      </c>
      <c r="F20" s="1"/>
    </row>
    <row r="21" customFormat="false" ht="18.55" hidden="false" customHeight="false" outlineLevel="0" collapsed="false">
      <c r="A21" s="0"/>
      <c r="B21" s="4"/>
      <c r="C21" s="4" t="s">
        <v>25</v>
      </c>
      <c r="D21" s="4" t="n">
        <v>0.5</v>
      </c>
      <c r="E21" s="4" t="s">
        <v>7</v>
      </c>
      <c r="F21" s="1"/>
    </row>
    <row r="22" customFormat="false" ht="18.55" hidden="false" customHeight="false" outlineLevel="0" collapsed="false">
      <c r="A22" s="0"/>
      <c r="B22" s="4"/>
      <c r="C22" s="4" t="s">
        <v>26</v>
      </c>
      <c r="D22" s="4" t="n">
        <v>1</v>
      </c>
      <c r="E22" s="4" t="s">
        <v>7</v>
      </c>
      <c r="F22" s="1"/>
    </row>
    <row r="23" customFormat="false" ht="18.55" hidden="false" customHeight="false" outlineLevel="0" collapsed="false">
      <c r="A23" s="0"/>
      <c r="B23" s="4"/>
      <c r="F23" s="1"/>
    </row>
    <row r="24" customFormat="false" ht="18.55" hidden="false" customHeight="false" outlineLevel="0" collapsed="false">
      <c r="A24" s="0"/>
      <c r="B24" s="4"/>
      <c r="F24" s="1"/>
    </row>
    <row r="25" customFormat="false" ht="18.55" hidden="false" customHeight="false" outlineLevel="0" collapsed="false">
      <c r="A25" s="0"/>
      <c r="B25" s="4"/>
      <c r="C25" s="4"/>
      <c r="D25" s="4"/>
      <c r="E25" s="4"/>
      <c r="F25" s="1"/>
    </row>
    <row r="26" customFormat="false" ht="18.55" hidden="false" customHeight="false" outlineLevel="0" collapsed="false">
      <c r="A26" s="1" t="n">
        <v>3</v>
      </c>
      <c r="B26" s="4" t="s">
        <v>27</v>
      </c>
      <c r="C26" s="4" t="s">
        <v>28</v>
      </c>
      <c r="D26" s="4" t="n">
        <v>24</v>
      </c>
      <c r="E26" s="4" t="s">
        <v>7</v>
      </c>
      <c r="F26" s="1"/>
    </row>
    <row r="27" customFormat="false" ht="18.55" hidden="false" customHeight="false" outlineLevel="0" collapsed="false">
      <c r="A27" s="0"/>
      <c r="B27" s="4" t="s">
        <v>29</v>
      </c>
      <c r="C27" s="4" t="s">
        <v>30</v>
      </c>
      <c r="D27" s="4" t="n">
        <v>24</v>
      </c>
      <c r="E27" s="4" t="s">
        <v>7</v>
      </c>
      <c r="F27" s="1"/>
    </row>
    <row r="28" customFormat="false" ht="18.55" hidden="false" customHeight="false" outlineLevel="0" collapsed="false">
      <c r="A28" s="0"/>
      <c r="B28" s="4"/>
      <c r="C28" s="4" t="s">
        <v>31</v>
      </c>
      <c r="D28" s="4" t="n">
        <v>30</v>
      </c>
      <c r="E28" s="4" t="s">
        <v>7</v>
      </c>
      <c r="F28" s="1"/>
    </row>
    <row r="29" customFormat="false" ht="18.55" hidden="false" customHeight="false" outlineLevel="0" collapsed="false">
      <c r="A29" s="0"/>
      <c r="B29" s="4"/>
      <c r="C29" s="4"/>
      <c r="D29" s="4"/>
      <c r="E29" s="4"/>
      <c r="F29" s="1"/>
    </row>
    <row r="30" customFormat="false" ht="18.55" hidden="false" customHeight="false" outlineLevel="0" collapsed="false">
      <c r="A30" s="1" t="n">
        <v>4</v>
      </c>
      <c r="B30" s="4" t="s">
        <v>32</v>
      </c>
      <c r="D30" s="4"/>
      <c r="E30" s="4"/>
      <c r="F30" s="1"/>
    </row>
    <row r="31" customFormat="false" ht="18.55" hidden="false" customHeight="false" outlineLevel="0" collapsed="false">
      <c r="A31" s="0"/>
      <c r="B31" s="4" t="s">
        <v>33</v>
      </c>
      <c r="D31" s="4"/>
      <c r="E31" s="4"/>
      <c r="F31" s="1"/>
    </row>
    <row r="32" customFormat="false" ht="18.55" hidden="false" customHeight="false" outlineLevel="0" collapsed="false">
      <c r="A32" s="0"/>
      <c r="B32" s="4"/>
      <c r="C32" s="4"/>
      <c r="D32" s="4"/>
      <c r="E32" s="4"/>
      <c r="F32" s="1"/>
    </row>
    <row r="33" customFormat="false" ht="18.55" hidden="false" customHeight="false" outlineLevel="0" collapsed="false">
      <c r="A33" s="1" t="n">
        <v>5</v>
      </c>
      <c r="B33" s="4" t="s">
        <v>34</v>
      </c>
      <c r="C33" s="4" t="s">
        <v>35</v>
      </c>
      <c r="D33" s="4" t="n">
        <v>15</v>
      </c>
      <c r="E33" s="4" t="s">
        <v>7</v>
      </c>
      <c r="F33" s="1"/>
    </row>
    <row r="34" customFormat="false" ht="18.55" hidden="false" customHeight="false" outlineLevel="0" collapsed="false">
      <c r="A34" s="0"/>
      <c r="B34" s="4"/>
      <c r="C34" s="4"/>
      <c r="D34" s="4"/>
      <c r="E34" s="4"/>
      <c r="F34" s="1"/>
    </row>
    <row r="35" customFormat="false" ht="18.55" hidden="false" customHeight="false" outlineLevel="0" collapsed="false">
      <c r="A35" s="1" t="n">
        <v>6</v>
      </c>
      <c r="B35" s="4" t="s">
        <v>34</v>
      </c>
      <c r="C35" s="4" t="s">
        <v>36</v>
      </c>
      <c r="D35" s="5" t="n">
        <f aca="false">2/23</f>
        <v>0.0869565217391304</v>
      </c>
      <c r="E35" s="4" t="s">
        <v>37</v>
      </c>
      <c r="F35" s="1"/>
    </row>
    <row r="36" customFormat="false" ht="18.55" hidden="false" customHeight="false" outlineLevel="0" collapsed="false">
      <c r="A36" s="0"/>
      <c r="B36" s="4"/>
      <c r="C36" s="4" t="s">
        <v>38</v>
      </c>
      <c r="D36" s="4"/>
      <c r="E36" s="4" t="s">
        <v>39</v>
      </c>
      <c r="F36" s="1"/>
    </row>
    <row r="37" customFormat="false" ht="18.55" hidden="false" customHeight="false" outlineLevel="0" collapsed="false">
      <c r="A37" s="0"/>
      <c r="B37" s="4"/>
      <c r="C37" s="4"/>
      <c r="D37" s="4"/>
      <c r="E37" s="4"/>
      <c r="F37" s="1"/>
    </row>
    <row r="38" customFormat="false" ht="18.55" hidden="false" customHeight="false" outlineLevel="0" collapsed="false">
      <c r="A38" s="1" t="n">
        <v>7</v>
      </c>
      <c r="B38" s="4" t="s">
        <v>27</v>
      </c>
      <c r="C38" s="4" t="s">
        <v>40</v>
      </c>
      <c r="D38" s="4" t="n">
        <v>2.5</v>
      </c>
      <c r="E38" s="4" t="s">
        <v>7</v>
      </c>
      <c r="F38" s="1"/>
    </row>
    <row r="39" customFormat="false" ht="18.55" hidden="false" customHeight="false" outlineLevel="0" collapsed="false">
      <c r="B39" s="4" t="s">
        <v>29</v>
      </c>
      <c r="C39" s="4" t="s">
        <v>41</v>
      </c>
      <c r="D39" s="4" t="n">
        <v>2.5</v>
      </c>
      <c r="E39" s="4" t="s">
        <v>7</v>
      </c>
      <c r="F39" s="1"/>
    </row>
    <row r="40" customFormat="false" ht="18.55" hidden="false" customHeight="false" outlineLevel="0" collapsed="false">
      <c r="B40" s="4"/>
      <c r="C40" s="4" t="s">
        <v>42</v>
      </c>
      <c r="D40" s="4" t="n">
        <v>2.5</v>
      </c>
      <c r="E40" s="4" t="s">
        <v>7</v>
      </c>
      <c r="F40" s="1"/>
    </row>
    <row r="41" customFormat="false" ht="18.55" hidden="false" customHeight="false" outlineLevel="0" collapsed="false">
      <c r="B41" s="4"/>
      <c r="C41" s="4" t="s">
        <v>43</v>
      </c>
      <c r="D41" s="5" t="n">
        <f aca="false">30/23</f>
        <v>1.30434782608696</v>
      </c>
      <c r="E41" s="4" t="s">
        <v>44</v>
      </c>
      <c r="F41" s="1" t="s">
        <v>8</v>
      </c>
    </row>
    <row r="42" customFormat="false" ht="18.55" hidden="false" customHeight="false" outlineLevel="0" collapsed="false">
      <c r="B42" s="4"/>
      <c r="C42" s="4"/>
      <c r="D42" s="4"/>
      <c r="E42" s="4"/>
      <c r="F42" s="1"/>
    </row>
    <row r="43" customFormat="false" ht="18.55" hidden="false" customHeight="false" outlineLevel="0" collapsed="false">
      <c r="B43" s="4"/>
      <c r="C43" s="2" t="s">
        <v>45</v>
      </c>
      <c r="D43" s="6" t="n">
        <f aca="false">SUM(D7:D41)</f>
        <v>1272.39130434783</v>
      </c>
      <c r="E43" s="7" t="s">
        <v>7</v>
      </c>
      <c r="F43" s="4"/>
    </row>
    <row r="44" customFormat="false" ht="18.55" hidden="false" customHeight="false" outlineLevel="0" collapsed="false">
      <c r="B44" s="4"/>
      <c r="C44" s="2" t="s">
        <v>46</v>
      </c>
      <c r="D44" s="8" t="n">
        <f aca="false">D43/30</f>
        <v>42.4130434782609</v>
      </c>
      <c r="E44" s="7"/>
      <c r="F44" s="4"/>
    </row>
    <row r="45" customFormat="false" ht="18.55" hidden="false" customHeight="false" outlineLevel="0" collapsed="false">
      <c r="B45" s="4"/>
      <c r="C45" s="2" t="s">
        <v>47</v>
      </c>
      <c r="D45" s="9" t="n">
        <f aca="false">D44*0.9</f>
        <v>38.1717391304348</v>
      </c>
      <c r="E45" s="7"/>
      <c r="F45" s="4"/>
    </row>
    <row r="46" customFormat="false" ht="18.55" hidden="false" customHeight="false" outlineLevel="0" collapsed="false">
      <c r="B46" s="4"/>
      <c r="C46" s="2" t="s">
        <v>48</v>
      </c>
      <c r="D46" s="10" t="n">
        <f aca="false">SUM(D7,D9:D10,D12,D41, D4)</f>
        <v>866.304347826087</v>
      </c>
      <c r="E46" s="7" t="s">
        <v>7</v>
      </c>
      <c r="F46" s="4"/>
    </row>
    <row r="47" customFormat="false" ht="18.55" hidden="false" customHeight="false" outlineLevel="0" collapsed="false">
      <c r="B47" s="4"/>
      <c r="C47" s="2" t="s">
        <v>49</v>
      </c>
      <c r="D47" s="11" t="n">
        <f aca="false">D46/D43</f>
        <v>0.680847428669059</v>
      </c>
      <c r="E47" s="4"/>
      <c r="F47" s="4"/>
    </row>
    <row r="48" customFormat="false" ht="18.55" hidden="false" customHeight="false" outlineLevel="0" collapsed="false">
      <c r="C48" s="3" t="s">
        <v>50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lastPrinted>2016-03-08T23:44:36Z</cp:lastPrinted>
  <cp:revision>0</cp:revision>
</cp:coreProperties>
</file>