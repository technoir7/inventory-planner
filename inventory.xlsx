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135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<sst xmlns="http://schemas.openxmlformats.org/spreadsheetml/2006/main" count="606" uniqueCount="445">
  <si>
    <t>Product Ingredient List</t>
  </si>
  <si>
    <t>Cost</t>
  </si>
  <si>
    <t>$/ml</t>
  </si>
  <si>
    <t>Supplier</t>
  </si>
  <si>
    <t>Organic</t>
  </si>
  <si>
    <t>72h Moisture</t>
  </si>
  <si>
    <t>126 / 1000 ml</t>
  </si>
  <si>
    <t>mc</t>
  </si>
  <si>
    <t>acai oil</t>
  </si>
  <si>
    <t>392.10 / 32 fl oz</t>
  </si>
  <si>
    <t>fnwl</t>
  </si>
  <si>
    <t>adzuki bean powder</t>
  </si>
  <si>
    <t>284.90 / 50 pounds</t>
  </si>
  <si>
    <t>Algae Extract</t>
  </si>
  <si>
    <t>55.50 / 250 ml</t>
  </si>
  <si>
    <t>making cosmetics</t>
  </si>
  <si>
    <t>algae omega oil</t>
  </si>
  <si>
    <t>50 / 2 oz</t>
  </si>
  <si>
    <t>Nordic Natural</t>
  </si>
  <si>
    <t>aloe vera powder</t>
  </si>
  <si>
    <t>40 / 8 oz</t>
  </si>
  <si>
    <t>Herbarie</t>
  </si>
  <si>
    <t>amyris</t>
  </si>
  <si>
    <t>11 / oz</t>
  </si>
  <si>
    <t>Eden</t>
  </si>
  <si>
    <t>animo guenadin</t>
  </si>
  <si>
    <t>apple vinegar cider</t>
  </si>
  <si>
    <t>5.39 / 946</t>
  </si>
  <si>
    <t>swanson</t>
  </si>
  <si>
    <t>apricot kernel oil</t>
  </si>
  <si>
    <t>221 / gallon</t>
  </si>
  <si>
    <t>mr</t>
  </si>
  <si>
    <t>Arabinogalactan Powder</t>
  </si>
  <si>
    <t>47.60 / 300 grams</t>
  </si>
  <si>
    <t>Professional Supplement Center</t>
  </si>
  <si>
    <t>Argan Oil</t>
  </si>
  <si>
    <t>520 / gallon</t>
  </si>
  <si>
    <t>ascorbyl tetreisopalm</t>
  </si>
  <si>
    <t>27.40 / 14 g</t>
  </si>
  <si>
    <t>bulk actives</t>
  </si>
  <si>
    <t>aspen bark</t>
  </si>
  <si>
    <t>250 / 2.2 pounds</t>
  </si>
  <si>
    <t>Lotioncrafter</t>
  </si>
  <si>
    <t>astaxanthin (4mg)</t>
  </si>
  <si>
    <t>14.99 / 60 capsules</t>
  </si>
  <si>
    <t>per capsule</t>
  </si>
  <si>
    <t>drugstore</t>
  </si>
  <si>
    <t>avocado butter</t>
  </si>
  <si>
    <t>9.80 / 225 g</t>
  </si>
  <si>
    <t>avocado oil</t>
  </si>
  <si>
    <t>102 /  gallon</t>
  </si>
  <si>
    <t>Bentonite Clay</t>
  </si>
  <si>
    <t>7.16 / 16 oz</t>
  </si>
  <si>
    <t>essential</t>
  </si>
  <si>
    <t>Beta Glucan</t>
  </si>
  <si>
    <t>299 / 33.6 oz</t>
  </si>
  <si>
    <t>bilberry extract</t>
  </si>
  <si>
    <t>33.5 / 4 oz</t>
  </si>
  <si>
    <t>black raspberry seed oil</t>
  </si>
  <si>
    <t>276 / gallon</t>
  </si>
  <si>
    <t>Blackberry Seed Oil</t>
  </si>
  <si>
    <t>217.28 / 32 oz</t>
  </si>
  <si>
    <t>blue cypress</t>
  </si>
  <si>
    <t>32 / .5 oz</t>
  </si>
  <si>
    <t>borage seed oil</t>
  </si>
  <si>
    <t>367 / gallon</t>
  </si>
  <si>
    <t>brewer's yeast</t>
  </si>
  <si>
    <t>7.17 / pound</t>
  </si>
  <si>
    <t>Broccoli Seed Oil</t>
  </si>
  <si>
    <t>133.70 / 3.5 pounds</t>
  </si>
  <si>
    <t>brown seaweed</t>
  </si>
  <si>
    <t>25.49 / 90 capsules</t>
  </si>
  <si>
    <t>calendula hydrosol</t>
  </si>
  <si>
    <t>31.75 / gallon</t>
  </si>
  <si>
    <t>camelia seed oil</t>
  </si>
  <si>
    <t>90 / gallon</t>
  </si>
  <si>
    <t>oh oh</t>
  </si>
  <si>
    <t>carnosine</t>
  </si>
  <si>
    <t>43.75 / 50 g</t>
  </si>
  <si>
    <t>pure bulk</t>
  </si>
  <si>
    <t>carrot seed</t>
  </si>
  <si>
    <t>39.90 / 250 ml</t>
  </si>
  <si>
    <t>carrot seed EO</t>
  </si>
  <si>
    <t>422 / 16 oz</t>
  </si>
  <si>
    <t>new direction</t>
  </si>
  <si>
    <t>centropheneoxine</t>
  </si>
  <si>
    <t>eden</t>
  </si>
  <si>
    <t>ceramide complex</t>
  </si>
  <si>
    <t>114.50 / 250 ml</t>
  </si>
  <si>
    <t>chaga</t>
  </si>
  <si>
    <t>5.99 / 60 capsules</t>
  </si>
  <si>
    <t>chamomile eo</t>
  </si>
  <si>
    <t>79 / oz</t>
  </si>
  <si>
    <t>chia seed co2 extract</t>
  </si>
  <si>
    <t>14.66 / ounce</t>
  </si>
  <si>
    <t>the herbarie</t>
  </si>
  <si>
    <t>chia seed oil</t>
  </si>
  <si>
    <t>136.75 / 32 oz</t>
  </si>
  <si>
    <t>chickpea flour</t>
  </si>
  <si>
    <t>19.32 / 5 pounds</t>
  </si>
  <si>
    <t>Cistus EO</t>
  </si>
  <si>
    <t>223 / 8 oz</t>
  </si>
  <si>
    <t>red mill</t>
  </si>
  <si>
    <t>cocamidopropylamine oxide</t>
  </si>
  <si>
    <t>11.95  / 500 ml</t>
  </si>
  <si>
    <t>coconut flour</t>
  </si>
  <si>
    <t>9.49 / pound</t>
  </si>
  <si>
    <t>coconut oil</t>
  </si>
  <si>
    <t>19.50 /  gallon</t>
  </si>
  <si>
    <t>coconut water</t>
  </si>
  <si>
    <t>Costco</t>
  </si>
  <si>
    <t>coenzyme Q10 (with vitamin E &amp; C)</t>
  </si>
  <si>
    <t>31.75 / 1.76</t>
  </si>
  <si>
    <t>coffee fruit extract</t>
  </si>
  <si>
    <t>colloidal oat flour, fine, usp</t>
  </si>
  <si>
    <t>89.99 / 10 pounds</t>
  </si>
  <si>
    <t>natural sourcing</t>
  </si>
  <si>
    <t>cranberry seed oil</t>
  </si>
  <si>
    <t>144 / 32 oz</t>
  </si>
  <si>
    <t>creatine pyruvate</t>
  </si>
  <si>
    <t>10.70 / 30 g</t>
  </si>
  <si>
    <t>cucumber fruit extract</t>
  </si>
  <si>
    <t>14.40 / 60 ml</t>
  </si>
  <si>
    <t>curcuma</t>
  </si>
  <si>
    <t>20.90 / ounce</t>
  </si>
  <si>
    <t>Curcuma *</t>
  </si>
  <si>
    <t>57.50 / 16 oz</t>
  </si>
  <si>
    <t>d-glucosamine</t>
  </si>
  <si>
    <t>67.50 / 3.3 pounds</t>
  </si>
  <si>
    <t>dimethicone satin</t>
  </si>
  <si>
    <t>54 / 500 ml</t>
  </si>
  <si>
    <t>dipotassium glycerizate</t>
  </si>
  <si>
    <t>427.24 / kg</t>
  </si>
  <si>
    <t>DMAE (dimethylaminoethanol)</t>
  </si>
  <si>
    <t>45.85 / 3.5 pounds</t>
  </si>
  <si>
    <t>ecklonia cava</t>
  </si>
  <si>
    <t>6.99 / 30 capsules</t>
  </si>
  <si>
    <t>Swanson</t>
  </si>
  <si>
    <t>ecklonia cava extract</t>
  </si>
  <si>
    <t>5.82/30 capsules</t>
  </si>
  <si>
    <t>egcg</t>
  </si>
  <si>
    <t>19.99 / 275 mg (60 capsules)</t>
  </si>
  <si>
    <t>($0.33 per capsule)</t>
  </si>
  <si>
    <t>Elderberry extract</t>
  </si>
  <si>
    <t>33.50 / 4 oz</t>
  </si>
  <si>
    <t>emu oil</t>
  </si>
  <si>
    <t>300 / 128 oz</t>
  </si>
  <si>
    <t>thunder ridge farms</t>
  </si>
  <si>
    <t>evening primrose</t>
  </si>
  <si>
    <t>146.36 / 7 pounds</t>
  </si>
  <si>
    <t>ferulic acid</t>
  </si>
  <si>
    <t>48.95 / 3.53 oz</t>
  </si>
  <si>
    <t>lotioncrafter</t>
  </si>
  <si>
    <t>Frankincense EO</t>
  </si>
  <si>
    <t>113 / 4 oz</t>
  </si>
  <si>
    <t>fucoidan</t>
  </si>
  <si>
    <t>18.99 /  60 g</t>
  </si>
  <si>
    <t>Galactoligo-saccharide</t>
  </si>
  <si>
    <t>40 / 150 g</t>
  </si>
  <si>
    <t>seeking health</t>
  </si>
  <si>
    <t>geranium eo</t>
  </si>
  <si>
    <t>548 / 33.5 oz</t>
  </si>
  <si>
    <t>glucono delta lactone</t>
  </si>
  <si>
    <t>10.75 / 15 oz</t>
  </si>
  <si>
    <t>Glucono Delta Lactone (GDL)</t>
  </si>
  <si>
    <t>10.75 /  1 pound</t>
  </si>
  <si>
    <t>gluconolactone</t>
  </si>
  <si>
    <t>35.8 / 500 g</t>
  </si>
  <si>
    <t>glucosamine MCl</t>
  </si>
  <si>
    <t>90.33 / 1.5 kg</t>
  </si>
  <si>
    <t>glycerin</t>
  </si>
  <si>
    <t>35 / gallon</t>
  </si>
  <si>
    <t>grapefruit essential oil</t>
  </si>
  <si>
    <t>8.95 / 1 fl oz</t>
  </si>
  <si>
    <t>grapeseed oil</t>
  </si>
  <si>
    <t>149 / gallon</t>
  </si>
  <si>
    <t>green myrtle eo</t>
  </si>
  <si>
    <t>221 / 8 oz</t>
  </si>
  <si>
    <t>green tea</t>
  </si>
  <si>
    <t>.56 / 2000 ml</t>
  </si>
  <si>
    <t>whole foods</t>
  </si>
  <si>
    <t>green tea extract</t>
  </si>
  <si>
    <t>87.35 / 33.6 oz</t>
  </si>
  <si>
    <t>Helychrysum essential oil</t>
  </si>
  <si>
    <t>572 / 4 oz</t>
  </si>
  <si>
    <t>hemp seed oil</t>
  </si>
  <si>
    <t>109.19 / gallon</t>
  </si>
  <si>
    <t>Homeostatine</t>
  </si>
  <si>
    <t>70 / 8 oz</t>
  </si>
  <si>
    <t>homeostatine</t>
  </si>
  <si>
    <t>45.00 / 4 oz</t>
  </si>
  <si>
    <t>hyaluronic acid</t>
  </si>
  <si>
    <t>524.95 / 500 ml</t>
  </si>
  <si>
    <t>295 / 100 g</t>
  </si>
  <si>
    <t>Hyaluronic Acid ELMW</t>
  </si>
  <si>
    <t>43.75 / 25 g</t>
  </si>
  <si>
    <t>Idebenone coenzyme Q10</t>
  </si>
  <si>
    <t>85 / 60ml</t>
  </si>
  <si>
    <t>irish moss powder</t>
  </si>
  <si>
    <t>21 / pound</t>
  </si>
  <si>
    <t>Isodecane - vitamin c</t>
  </si>
  <si>
    <t>37.30 / 10.6 oz</t>
  </si>
  <si>
    <t>ivy leaf</t>
  </si>
  <si>
    <t>6.79 / 90 tablets</t>
  </si>
  <si>
    <t>per tablet</t>
  </si>
  <si>
    <t>jarnanel oil</t>
  </si>
  <si>
    <t>37 / 16 oz</t>
  </si>
  <si>
    <t>Jasmine Sambac</t>
  </si>
  <si>
    <t>45 / 2 oz</t>
  </si>
  <si>
    <t>jojoba oil</t>
  </si>
  <si>
    <t>125 / gallon</t>
  </si>
  <si>
    <t>orosonora farms</t>
  </si>
  <si>
    <t>kakadu plum extract</t>
  </si>
  <si>
    <t>24.50 / 60 ml</t>
  </si>
  <si>
    <t>kelp atlantic powder</t>
  </si>
  <si>
    <t>43.95 / 7 pounds</t>
  </si>
  <si>
    <t>kiwi seed</t>
  </si>
  <si>
    <t>331.52 / 32 fl oz</t>
  </si>
  <si>
    <t>knotgrass flavonoids</t>
  </si>
  <si>
    <t>148 / 250 ml</t>
  </si>
  <si>
    <t>knotweed</t>
  </si>
  <si>
    <t>149 / 250 ml</t>
  </si>
  <si>
    <t>kombucha tincture</t>
  </si>
  <si>
    <t>10 / 30 mL</t>
  </si>
  <si>
    <t>a.f. distribution</t>
  </si>
  <si>
    <t>l-ascorbic acid untrafine</t>
  </si>
  <si>
    <t>306.45 / 9 pounds</t>
  </si>
  <si>
    <t>l-carnosine</t>
  </si>
  <si>
    <t>Lactic acid</t>
  </si>
  <si>
    <t>88.75 / 9 pounds</t>
  </si>
  <si>
    <t>Lacto-Ceramide</t>
  </si>
  <si>
    <t>111.90 / 250 ml</t>
  </si>
  <si>
    <t>Lary</t>
  </si>
  <si>
    <t>15.80 / 10 ml</t>
  </si>
  <si>
    <t>lavender distillate</t>
  </si>
  <si>
    <t>19.63 / 7 pounds</t>
  </si>
  <si>
    <t>Lavender EO, Bulgaria organic</t>
  </si>
  <si>
    <t>150.22 / 33.3 oz</t>
  </si>
  <si>
    <t>first direction</t>
  </si>
  <si>
    <t>lecithin</t>
  </si>
  <si>
    <t>25.50 / 16 oz</t>
  </si>
  <si>
    <t>lemon esential oil</t>
  </si>
  <si>
    <t>35.25 / 4 oz</t>
  </si>
  <si>
    <t>lemon essential oil</t>
  </si>
  <si>
    <t>30.80 / 4 fl oz</t>
  </si>
  <si>
    <t>lemon peel bioferment</t>
  </si>
  <si>
    <t>21 / 100 g</t>
  </si>
  <si>
    <t>leucidal</t>
  </si>
  <si>
    <t>215 .95 / 8 pounds</t>
  </si>
  <si>
    <t>licorice root extract</t>
  </si>
  <si>
    <t>30.50 / 4 oz</t>
  </si>
  <si>
    <t>lycopene</t>
  </si>
  <si>
    <t>9 / 30 ml</t>
  </si>
  <si>
    <t>botanic choice</t>
  </si>
  <si>
    <t>magnesium ascorbyl phosphate (map)</t>
  </si>
  <si>
    <t>14.95 / oz</t>
  </si>
  <si>
    <t>manuka honey</t>
  </si>
  <si>
    <t>46.20 / 17.5 oz</t>
  </si>
  <si>
    <t>marrubium extract</t>
  </si>
  <si>
    <t>12.80 / 60 ml</t>
  </si>
  <si>
    <t>marshmallow root powder</t>
  </si>
  <si>
    <t>18.50 / 16 oz</t>
  </si>
  <si>
    <t>Marula Oil</t>
  </si>
  <si>
    <t>162.95 / 3.5 pounds</t>
  </si>
  <si>
    <t>meadowfoam seed oil</t>
  </si>
  <si>
    <t>89.75 / gallon</t>
  </si>
  <si>
    <t>mica</t>
  </si>
  <si>
    <t>176 / 5 kg</t>
  </si>
  <si>
    <t>milk thistle</t>
  </si>
  <si>
    <t>10.89 / oz</t>
  </si>
  <si>
    <t>moroccan chamomile</t>
  </si>
  <si>
    <t>79 / ounce</t>
  </si>
  <si>
    <t>NaPCA</t>
  </si>
  <si>
    <t>16.60 / 500 ml</t>
  </si>
  <si>
    <t>neem oil</t>
  </si>
  <si>
    <t>95 / gallon</t>
  </si>
  <si>
    <t>Neroli EO - France</t>
  </si>
  <si>
    <t>436 / 4 oz</t>
  </si>
  <si>
    <t>Niacinamide</t>
  </si>
  <si>
    <t>54.50 / 3.3 pounds</t>
  </si>
  <si>
    <t>Niacinamide *</t>
  </si>
  <si>
    <t>noni juice</t>
  </si>
  <si>
    <t>25.73 / 946</t>
  </si>
  <si>
    <t>olive oil</t>
  </si>
  <si>
    <t>35.70 / gallon</t>
  </si>
  <si>
    <t>orange blossom (neroli) distillate</t>
  </si>
  <si>
    <t>53.65 / 7 pounds</t>
  </si>
  <si>
    <t>orange essential oil</t>
  </si>
  <si>
    <t>19.25 / 4 oz</t>
  </si>
  <si>
    <t>palmarosa essential oil</t>
  </si>
  <si>
    <t>77.85 / 16 oz</t>
  </si>
  <si>
    <t>new dimension</t>
  </si>
  <si>
    <t>panthethenic acid</t>
  </si>
  <si>
    <t>95.50 / 3.3 pounds</t>
  </si>
  <si>
    <t>paper mulberry</t>
  </si>
  <si>
    <t>2 / 2 oz</t>
  </si>
  <si>
    <t>herb store</t>
  </si>
  <si>
    <t>pearl powder</t>
  </si>
  <si>
    <t>46.40 / 1.4 oz</t>
  </si>
  <si>
    <t>Pepha-tight</t>
  </si>
  <si>
    <t>19 / ounce</t>
  </si>
  <si>
    <t>pH indicator strips</t>
  </si>
  <si>
    <t>phytosterol</t>
  </si>
  <si>
    <t>8.40 / 30 g</t>
  </si>
  <si>
    <t>polyglucose</t>
  </si>
  <si>
    <t>49.90 / 128 oz</t>
  </si>
  <si>
    <t>pomegranate seed oil</t>
  </si>
  <si>
    <t>86 / 16 oz</t>
  </si>
  <si>
    <t>poptato flour</t>
  </si>
  <si>
    <t>6.49 / 24 oz</t>
  </si>
  <si>
    <t>potassium sorbate</t>
  </si>
  <si>
    <t>66.75 / 7 pounds</t>
  </si>
  <si>
    <t>prickly pear</t>
  </si>
  <si>
    <t>539.84 / 16 oz</t>
  </si>
  <si>
    <t>probiota immune</t>
  </si>
  <si>
    <t>39.95 / 5.3 oz</t>
  </si>
  <si>
    <t>probiotic</t>
  </si>
  <si>
    <t>41.89 / 2.4 oz</t>
  </si>
  <si>
    <t>probiotic complex</t>
  </si>
  <si>
    <t>provitamin B5 (d-panthenol)</t>
  </si>
  <si>
    <t>83.50 / 33.6 oz</t>
  </si>
  <si>
    <t>pumpkin seed</t>
  </si>
  <si>
    <t>red raspberry seed oil</t>
  </si>
  <si>
    <t>81.07 / 32 fl oz</t>
  </si>
  <si>
    <t>Resveratrol</t>
  </si>
  <si>
    <t>9.98 / 60 capsules</t>
  </si>
  <si>
    <t>.16 / tab</t>
  </si>
  <si>
    <t>retinol - vitamin a</t>
  </si>
  <si>
    <t>564 / 33.6 fl oz</t>
  </si>
  <si>
    <t>rice bran beads</t>
  </si>
  <si>
    <t>13.90 / 125 g</t>
  </si>
  <si>
    <t>rice bran powder</t>
  </si>
  <si>
    <t>47.86 / 2 pounds</t>
  </si>
  <si>
    <t>rose absolute - egypt</t>
  </si>
  <si>
    <t>548 / 4 oz</t>
  </si>
  <si>
    <t>rose geranium</t>
  </si>
  <si>
    <t>545 /33.3 oz</t>
  </si>
  <si>
    <t>Rosehip Seed Oil</t>
  </si>
  <si>
    <t>326 / gallon</t>
  </si>
  <si>
    <t>Rosemary antioxidant</t>
  </si>
  <si>
    <t>134.50 / 16 oz</t>
  </si>
  <si>
    <t>rosemary essential oil</t>
  </si>
  <si>
    <t>7.55 / 2 fl oz</t>
  </si>
  <si>
    <t>rutin</t>
  </si>
  <si>
    <t>9.99 / 120 tablets</t>
  </si>
  <si>
    <t>safflower oil</t>
  </si>
  <si>
    <t>27 /  gallon</t>
  </si>
  <si>
    <t>sea buckthorn</t>
  </si>
  <si>
    <t>147.80 / 16 oz</t>
  </si>
  <si>
    <t>sea buckthorn oil</t>
  </si>
  <si>
    <t>Sea Kelp Bioferment</t>
  </si>
  <si>
    <t>48.95 / 1 pound</t>
  </si>
  <si>
    <t>sea kelp extract</t>
  </si>
  <si>
    <t>172 / 1000 ml</t>
  </si>
  <si>
    <t>sensique asian lily</t>
  </si>
  <si>
    <t>80.85 / 7.5 oz</t>
  </si>
  <si>
    <t>sesame oil</t>
  </si>
  <si>
    <t>36.92 / gallon</t>
  </si>
  <si>
    <t>skin lift</t>
  </si>
  <si>
    <t>40.80 / 1.8 oz</t>
  </si>
  <si>
    <t>Skin white herb</t>
  </si>
  <si>
    <t>27.90 / 60 ml</t>
  </si>
  <si>
    <t>skinlift dphp</t>
  </si>
  <si>
    <t>40.80 / 50 g</t>
  </si>
  <si>
    <t>SOD</t>
  </si>
  <si>
    <t>10.19 /100 tablets</t>
  </si>
  <si>
    <t>.10 / tablet</t>
  </si>
  <si>
    <t>sodium alginate</t>
  </si>
  <si>
    <t>25.50 / 6 oz</t>
  </si>
  <si>
    <t>sodium bicorbonate</t>
  </si>
  <si>
    <t>3.50 / pound</t>
  </si>
  <si>
    <t>sodium PCA</t>
  </si>
  <si>
    <t>17 / 500 ml</t>
  </si>
  <si>
    <t>sodium salicylate</t>
  </si>
  <si>
    <t>60.95 / 500g</t>
  </si>
  <si>
    <t>squalene (olive) oil</t>
  </si>
  <si>
    <t>197.69 / 64 fl oz</t>
  </si>
  <si>
    <t>Star Jasmine Ext</t>
  </si>
  <si>
    <t>18 / 20ml</t>
  </si>
  <si>
    <t>sucrose cocoate</t>
  </si>
  <si>
    <t>183.70 / 8.4 pounds</t>
  </si>
  <si>
    <t>183.70 / 3.8 kg</t>
  </si>
  <si>
    <t>183 / 3.8 kg</t>
  </si>
  <si>
    <t>sulphur mud</t>
  </si>
  <si>
    <t>73.10 / 2.2 pounds</t>
  </si>
  <si>
    <t>sunflower lecithin</t>
  </si>
  <si>
    <t>18.48 / 400 capsules</t>
  </si>
  <si>
    <t>Now</t>
  </si>
  <si>
    <t>sunflower oil</t>
  </si>
  <si>
    <t>20.25 / 128 oz</t>
  </si>
  <si>
    <t>tamanu oil</t>
  </si>
  <si>
    <t>251 / gallon</t>
  </si>
  <si>
    <t>tea</t>
  </si>
  <si>
    <t>$8 / 60bags</t>
  </si>
  <si>
    <t>per bag</t>
  </si>
  <si>
    <t>tea tree oil</t>
  </si>
  <si>
    <t>32 / 4 oz</t>
  </si>
  <si>
    <t>tetrahexyldecyl ascorbate</t>
  </si>
  <si>
    <t>49.95 / oz</t>
  </si>
  <si>
    <t>tomato seed oil</t>
  </si>
  <si>
    <t>95 / pound</t>
  </si>
  <si>
    <t>turmeric</t>
  </si>
  <si>
    <t>10 / 10 ml</t>
  </si>
  <si>
    <t>usnea</t>
  </si>
  <si>
    <t>34 / 500 g</t>
  </si>
  <si>
    <t>usnea lichen co2 extract</t>
  </si>
  <si>
    <t>97.88 / 8 oz</t>
  </si>
  <si>
    <t>herbarie</t>
  </si>
  <si>
    <t>usnea tincture</t>
  </si>
  <si>
    <t>26.16 / 16 oz</t>
  </si>
  <si>
    <t>uva ursi tincture</t>
  </si>
  <si>
    <t>30.50 /  4 oz</t>
  </si>
  <si>
    <t>Vetiver</t>
  </si>
  <si>
    <t>152.17 / 16.06 fl oz</t>
  </si>
  <si>
    <t>vit c</t>
  </si>
  <si>
    <t>37.30 / 300 g</t>
  </si>
  <si>
    <t>vitamin A microcaps (retinol)</t>
  </si>
  <si>
    <t>564 / 1000 ml</t>
  </si>
  <si>
    <t>vitamin c in silicone</t>
  </si>
  <si>
    <t>279 / 6.6 pounds</t>
  </si>
  <si>
    <t>vitamin c stable</t>
  </si>
  <si>
    <t>19.75 / 8g</t>
  </si>
  <si>
    <t>vitamin E oil</t>
  </si>
  <si>
    <t>448 / gallon</t>
  </si>
  <si>
    <t>vitc</t>
  </si>
  <si>
    <t>watermelon seed oil</t>
  </si>
  <si>
    <t>139.78 / gallon</t>
  </si>
  <si>
    <t>willow bark</t>
  </si>
  <si>
    <t>190.55 / gallon</t>
  </si>
  <si>
    <t>Willow Bark Extract</t>
  </si>
  <si>
    <t>51.90 / 250 ml</t>
  </si>
  <si>
    <t>Wrinkle blur</t>
  </si>
  <si>
    <t>69 / 600g</t>
  </si>
  <si>
    <t>xanthan gum</t>
  </si>
  <si>
    <t>5 / 8 oz</t>
  </si>
  <si>
    <t>xanthorrhiza co2 extract</t>
  </si>
  <si>
    <t>20.90 /  ounce</t>
  </si>
  <si>
    <t>ylang ylang organic</t>
  </si>
  <si>
    <t>459.01 / pound</t>
  </si>
  <si>
    <t>zinc oxide</t>
  </si>
  <si>
    <t>33.70 / 250 g</t>
  </si>
  <si>
    <t>zinc oxide, micronized</t>
  </si>
  <si>
    <t>675 / 22 pounds</t>
  </si>
  <si>
    <t>fukoidan</t>
  </si>
  <si>
    <t>17.50 / 1.06 oz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</si>
</sst>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/DD/YY"/>
    <numFmt numFmtId="166" formatCode="\$#,##0.00;&quot;-$&quot;#,##0.00"/>
    <numFmt numFmtId="167" formatCode="[$$-409]#,##0.00;[RED]\-[$$-409]#,##0.00"/>
    <numFmt numFmtId="168" formatCode="\$#,##0.00"/>
  </numFmts>
  <fonts count="12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1"/>
      <charset val="1"/>
    </font>
    <font>
      <b val="true"/>
      <sz val="12"/>
      <name val="Times New Roman"/>
      <family val="1"/>
      <charset val="1"/>
    </font>
    <font>
      <sz val="12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sz val="11"/>
      <color rgb="FF000000"/>
      <name val="Calibri"/>
      <family val="2"/>
      <charset val="1"/>
    </font>
    <font>
      <sz val="12"/>
      <color rgb="FFCC3300"/>
      <name val="Times New Roman"/>
      <family val="1"/>
      <charset val="1"/>
    </font>
    <font>
      <sz val="10"/>
      <color rgb="FFCC3300"/>
      <name val="Arial"/>
      <family val="2"/>
      <charset val="1"/>
    </font>
    <font>
      <sz val="12"/>
      <color rgb="FF8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C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65530"/>
  <sheetViews>
    <sheetView windowProtection="false" showFormulas="false" showGridLines="true" showRowColHeaders="true" showZeros="true" rightToLeft="false" tabSelected="true" showOutlineSymbols="true" defaultGridColor="true" view="normal" topLeftCell="A196" colorId="64" zoomScale="100" zoomScaleNormal="100" zoomScalePageLayoutView="100" workbookViewId="0">
      <selection pane="topLeft" activeCell="E211" activeCellId="0" sqref="A211:E211"/>
    </sheetView>
  </sheetViews>
  <sheetFormatPr defaultRowHeight="12.8"/>
  <cols>
    <col collapsed="false" hidden="false" max="1" min="1" style="1" width="34.7091836734694"/>
    <col collapsed="false" hidden="false" max="2" min="2" style="1" width="18.5765306122449"/>
    <col collapsed="false" hidden="false" max="3" min="3" style="2" width="10.2755102040816"/>
    <col collapsed="false" hidden="false" max="4" min="4" style="1" width="14.4285714285714"/>
    <col collapsed="false" hidden="false" max="5" min="5" style="1" width="28.1938775510204"/>
    <col collapsed="false" hidden="false" max="6" min="6" style="3" width="8.81122448979592"/>
    <col collapsed="false" hidden="false" max="1025" min="7" style="1" width="14.4285714285714"/>
  </cols>
  <sheetData>
    <row r="1" customFormat="false" ht="15" hidden="false" customHeight="false" outlineLevel="0" collapsed="false">
      <c r="A1" s="4" t="s">
        <v>0</v>
      </c>
      <c r="B1" s="5"/>
      <c r="C1" s="6"/>
      <c r="D1" s="0"/>
      <c r="E1" s="7"/>
      <c r="F1" s="8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5" hidden="false" customHeight="false" outlineLevel="0" collapsed="false">
      <c r="A2" s="4" t="n">
        <v>42526</v>
      </c>
      <c r="B2" s="5"/>
      <c r="C2" s="6"/>
      <c r="D2" s="0"/>
      <c r="E2" s="7"/>
      <c r="F2" s="8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5" hidden="false" customHeight="false" outlineLevel="0" collapsed="false">
      <c r="A3" s="9"/>
      <c r="B3" s="10" t="s">
        <v>1</v>
      </c>
      <c r="C3" s="11" t="s">
        <v>2</v>
      </c>
      <c r="D3" s="12"/>
      <c r="E3" s="13" t="s">
        <v>3</v>
      </c>
      <c r="F3" s="14" t="s">
        <v>4</v>
      </c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5" hidden="false" customHeight="false" outlineLevel="0" collapsed="false">
      <c r="A4" s="1" t="s">
        <v>5</v>
      </c>
      <c r="B4" s="1" t="s">
        <v>6</v>
      </c>
      <c r="C4" s="15" t="n">
        <f aca="false">126/1000</f>
        <v>0.126</v>
      </c>
      <c r="D4" s="16"/>
      <c r="E4" s="1" t="s">
        <v>7</v>
      </c>
      <c r="F4" s="17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5" hidden="false" customHeight="false" outlineLevel="0" collapsed="false">
      <c r="A5" s="9" t="s">
        <v>8</v>
      </c>
      <c r="B5" s="9" t="s">
        <v>9</v>
      </c>
      <c r="C5" s="15" t="n">
        <f aca="false">392.1/32/30</f>
        <v>0.4084375</v>
      </c>
      <c r="D5" s="16"/>
      <c r="E5" s="18" t="s">
        <v>10</v>
      </c>
      <c r="F5" s="17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15" hidden="false" customHeight="false" outlineLevel="0" collapsed="false">
      <c r="A6" s="1" t="s">
        <v>11</v>
      </c>
      <c r="B6" s="1" t="s">
        <v>12</v>
      </c>
      <c r="C6" s="19" t="n">
        <f aca="false">284.9/5016/30</f>
        <v>0.00189327485380117</v>
      </c>
      <c r="D6" s="16"/>
      <c r="E6" s="1" t="s">
        <v>10</v>
      </c>
      <c r="F6" s="3" t="n">
        <v>1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15" hidden="false" customHeight="false" outlineLevel="0" collapsed="false">
      <c r="A7" s="1" t="s">
        <v>13</v>
      </c>
      <c r="B7" s="1" t="s">
        <v>14</v>
      </c>
      <c r="C7" s="19" t="n">
        <f aca="false">55.5/250</f>
        <v>0.222</v>
      </c>
      <c r="D7" s="16"/>
      <c r="E7" s="1" t="s">
        <v>15</v>
      </c>
      <c r="F7" s="17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customFormat="false" ht="15" hidden="false" customHeight="false" outlineLevel="0" collapsed="false">
      <c r="A8" s="9" t="s">
        <v>16</v>
      </c>
      <c r="B8" s="9" t="s">
        <v>17</v>
      </c>
      <c r="C8" s="15" t="n">
        <f aca="false">50/2/30</f>
        <v>0.833333333333333</v>
      </c>
      <c r="D8" s="16"/>
      <c r="E8" s="18" t="s">
        <v>18</v>
      </c>
      <c r="F8" s="17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customFormat="false" ht="15" hidden="false" customHeight="false" outlineLevel="0" collapsed="false">
      <c r="A9" s="9" t="s">
        <v>19</v>
      </c>
      <c r="B9" s="9" t="s">
        <v>20</v>
      </c>
      <c r="C9" s="15" t="n">
        <f aca="false">40/8/30</f>
        <v>0.166666666666667</v>
      </c>
      <c r="D9" s="16"/>
      <c r="E9" s="18" t="s">
        <v>21</v>
      </c>
      <c r="F9" s="17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customFormat="false" ht="15" hidden="false" customHeight="false" outlineLevel="0" collapsed="false">
      <c r="A10" s="9" t="s">
        <v>22</v>
      </c>
      <c r="B10" s="9" t="s">
        <v>23</v>
      </c>
      <c r="C10" s="15" t="n">
        <f aca="false">11/30</f>
        <v>0.366666666666667</v>
      </c>
      <c r="D10" s="16"/>
      <c r="E10" s="18" t="s">
        <v>24</v>
      </c>
      <c r="F10" s="17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customFormat="false" ht="15" hidden="false" customHeight="false" outlineLevel="0" collapsed="false">
      <c r="A11" s="9" t="s">
        <v>25</v>
      </c>
      <c r="B11" s="9"/>
      <c r="C11" s="15"/>
      <c r="D11" s="16"/>
      <c r="E11" s="18"/>
      <c r="F11" s="17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</row>
    <row r="12" customFormat="false" ht="15" hidden="false" customHeight="false" outlineLevel="0" collapsed="false">
      <c r="A12" s="1" t="s">
        <v>26</v>
      </c>
      <c r="B12" s="1" t="s">
        <v>27</v>
      </c>
      <c r="C12" s="20" t="n">
        <f aca="false">6.49/24/30</f>
        <v>0.00901388888888889</v>
      </c>
      <c r="D12" s="16"/>
      <c r="E12" s="1" t="s">
        <v>28</v>
      </c>
      <c r="F12" s="3" t="n">
        <v>1</v>
      </c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</row>
    <row r="13" customFormat="false" ht="15" hidden="false" customHeight="false" outlineLevel="0" collapsed="false">
      <c r="A13" s="9" t="s">
        <v>29</v>
      </c>
      <c r="B13" s="9" t="s">
        <v>30</v>
      </c>
      <c r="C13" s="15" t="n">
        <f aca="false">221/128/30</f>
        <v>0.0575520833333333</v>
      </c>
      <c r="D13" s="16"/>
      <c r="E13" s="18" t="s">
        <v>31</v>
      </c>
      <c r="F13" s="17" t="n">
        <v>1</v>
      </c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</row>
    <row r="14" customFormat="false" ht="15" hidden="false" customHeight="false" outlineLevel="0" collapsed="false">
      <c r="A14" s="9" t="s">
        <v>32</v>
      </c>
      <c r="B14" s="9" t="s">
        <v>33</v>
      </c>
      <c r="C14" s="15" t="n">
        <f aca="false">47.6/300</f>
        <v>0.158666666666667</v>
      </c>
      <c r="D14" s="16"/>
      <c r="E14" s="18" t="s">
        <v>34</v>
      </c>
      <c r="F14" s="17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  <c r="IX14" s="0"/>
      <c r="IY14" s="0"/>
      <c r="IZ14" s="0"/>
      <c r="JA14" s="0"/>
      <c r="JB14" s="0"/>
      <c r="JC14" s="0"/>
      <c r="JD14" s="0"/>
      <c r="JE14" s="0"/>
      <c r="JF14" s="0"/>
      <c r="JG14" s="0"/>
      <c r="JH14" s="0"/>
      <c r="JI14" s="0"/>
      <c r="JJ14" s="0"/>
      <c r="JK14" s="0"/>
      <c r="JL14" s="0"/>
      <c r="JM14" s="0"/>
      <c r="JN14" s="0"/>
      <c r="JO14" s="0"/>
      <c r="JP14" s="0"/>
      <c r="JQ14" s="0"/>
      <c r="JR14" s="0"/>
      <c r="JS14" s="0"/>
      <c r="JT14" s="0"/>
      <c r="JU14" s="0"/>
      <c r="JV14" s="0"/>
      <c r="JW14" s="0"/>
      <c r="JX14" s="0"/>
      <c r="JY14" s="0"/>
      <c r="JZ14" s="0"/>
      <c r="KA14" s="0"/>
      <c r="KB14" s="0"/>
      <c r="KC14" s="0"/>
      <c r="KD14" s="0"/>
      <c r="KE14" s="0"/>
      <c r="KF14" s="0"/>
      <c r="KG14" s="0"/>
      <c r="KH14" s="0"/>
      <c r="KI14" s="0"/>
      <c r="KJ14" s="0"/>
      <c r="KK14" s="0"/>
      <c r="KL14" s="0"/>
      <c r="KM14" s="0"/>
      <c r="KN14" s="0"/>
      <c r="KO14" s="0"/>
      <c r="KP14" s="0"/>
      <c r="KQ14" s="0"/>
      <c r="KR14" s="0"/>
      <c r="KS14" s="0"/>
      <c r="KT14" s="0"/>
      <c r="KU14" s="0"/>
      <c r="KV14" s="0"/>
      <c r="KW14" s="0"/>
      <c r="KX14" s="0"/>
      <c r="KY14" s="0"/>
      <c r="KZ14" s="0"/>
      <c r="LA14" s="0"/>
      <c r="LB14" s="0"/>
      <c r="LC14" s="0"/>
      <c r="LD14" s="0"/>
      <c r="LE14" s="0"/>
      <c r="LF14" s="0"/>
      <c r="LG14" s="0"/>
      <c r="LH14" s="0"/>
      <c r="LI14" s="0"/>
      <c r="LJ14" s="0"/>
      <c r="LK14" s="0"/>
      <c r="LL14" s="0"/>
      <c r="LM14" s="0"/>
      <c r="LN14" s="0"/>
      <c r="LO14" s="0"/>
      <c r="LP14" s="0"/>
      <c r="LQ14" s="0"/>
      <c r="LR14" s="0"/>
      <c r="LS14" s="0"/>
      <c r="LT14" s="0"/>
      <c r="LU14" s="0"/>
      <c r="LV14" s="0"/>
      <c r="LW14" s="0"/>
      <c r="LX14" s="0"/>
      <c r="LY14" s="0"/>
      <c r="LZ14" s="0"/>
      <c r="MA14" s="0"/>
      <c r="MB14" s="0"/>
      <c r="MC14" s="0"/>
      <c r="MD14" s="0"/>
      <c r="ME14" s="0"/>
      <c r="MF14" s="0"/>
      <c r="MG14" s="0"/>
      <c r="MH14" s="0"/>
      <c r="MI14" s="0"/>
      <c r="MJ14" s="0"/>
      <c r="MK14" s="0"/>
      <c r="ML14" s="0"/>
      <c r="MM14" s="0"/>
      <c r="MN14" s="0"/>
      <c r="MO14" s="0"/>
      <c r="MP14" s="0"/>
      <c r="MQ14" s="0"/>
      <c r="MR14" s="0"/>
      <c r="MS14" s="0"/>
      <c r="MT14" s="0"/>
      <c r="MU14" s="0"/>
      <c r="MV14" s="0"/>
      <c r="MW14" s="0"/>
      <c r="MX14" s="0"/>
      <c r="MY14" s="0"/>
      <c r="MZ14" s="0"/>
      <c r="NA14" s="0"/>
      <c r="NB14" s="0"/>
      <c r="NC14" s="0"/>
      <c r="ND14" s="0"/>
      <c r="NE14" s="0"/>
      <c r="NF14" s="0"/>
      <c r="NG14" s="0"/>
      <c r="NH14" s="0"/>
      <c r="NI14" s="0"/>
      <c r="NJ14" s="0"/>
      <c r="NK14" s="0"/>
      <c r="NL14" s="0"/>
      <c r="NM14" s="0"/>
      <c r="NN14" s="0"/>
      <c r="NO14" s="0"/>
      <c r="NP14" s="0"/>
      <c r="NQ14" s="0"/>
      <c r="NR14" s="0"/>
      <c r="NS14" s="0"/>
      <c r="NT14" s="0"/>
      <c r="NU14" s="0"/>
      <c r="NV14" s="0"/>
      <c r="NW14" s="0"/>
      <c r="NX14" s="0"/>
      <c r="NY14" s="0"/>
      <c r="NZ14" s="0"/>
      <c r="OA14" s="0"/>
      <c r="OB14" s="0"/>
      <c r="OC14" s="0"/>
      <c r="OD14" s="0"/>
      <c r="OE14" s="0"/>
      <c r="OF14" s="0"/>
      <c r="OG14" s="0"/>
      <c r="OH14" s="0"/>
      <c r="OI14" s="0"/>
      <c r="OJ14" s="0"/>
      <c r="OK14" s="0"/>
      <c r="OL14" s="0"/>
      <c r="OM14" s="0"/>
      <c r="ON14" s="0"/>
      <c r="OO14" s="0"/>
      <c r="OP14" s="0"/>
      <c r="OQ14" s="0"/>
      <c r="OR14" s="0"/>
      <c r="OS14" s="0"/>
      <c r="OT14" s="0"/>
      <c r="OU14" s="0"/>
      <c r="OV14" s="0"/>
      <c r="OW14" s="0"/>
      <c r="OX14" s="0"/>
      <c r="OY14" s="0"/>
      <c r="OZ14" s="0"/>
      <c r="PA14" s="0"/>
      <c r="PB14" s="0"/>
      <c r="PC14" s="0"/>
      <c r="PD14" s="0"/>
      <c r="PE14" s="0"/>
      <c r="PF14" s="0"/>
      <c r="PG14" s="0"/>
      <c r="PH14" s="0"/>
      <c r="PI14" s="0"/>
      <c r="PJ14" s="0"/>
      <c r="PK14" s="0"/>
      <c r="PL14" s="0"/>
      <c r="PM14" s="0"/>
      <c r="PN14" s="0"/>
      <c r="PO14" s="0"/>
      <c r="PP14" s="0"/>
      <c r="PQ14" s="0"/>
      <c r="PR14" s="0"/>
      <c r="PS14" s="0"/>
      <c r="PT14" s="0"/>
      <c r="PU14" s="0"/>
      <c r="PV14" s="0"/>
      <c r="PW14" s="0"/>
      <c r="PX14" s="0"/>
      <c r="PY14" s="0"/>
      <c r="PZ14" s="0"/>
      <c r="QA14" s="0"/>
      <c r="QB14" s="0"/>
      <c r="QC14" s="0"/>
      <c r="QD14" s="0"/>
      <c r="QE14" s="0"/>
      <c r="QF14" s="0"/>
      <c r="QG14" s="0"/>
      <c r="QH14" s="0"/>
      <c r="QI14" s="0"/>
      <c r="QJ14" s="0"/>
      <c r="QK14" s="0"/>
      <c r="QL14" s="0"/>
      <c r="QM14" s="0"/>
      <c r="QN14" s="0"/>
      <c r="QO14" s="0"/>
      <c r="QP14" s="0"/>
      <c r="QQ14" s="0"/>
      <c r="QR14" s="0"/>
      <c r="QS14" s="0"/>
      <c r="QT14" s="0"/>
      <c r="QU14" s="0"/>
      <c r="QV14" s="0"/>
      <c r="QW14" s="0"/>
      <c r="QX14" s="0"/>
      <c r="QY14" s="0"/>
      <c r="QZ14" s="0"/>
      <c r="RA14" s="0"/>
      <c r="RB14" s="0"/>
      <c r="RC14" s="0"/>
      <c r="RD14" s="0"/>
      <c r="RE14" s="0"/>
      <c r="RF14" s="0"/>
      <c r="RG14" s="0"/>
      <c r="RH14" s="0"/>
      <c r="RI14" s="0"/>
      <c r="RJ14" s="0"/>
      <c r="RK14" s="0"/>
      <c r="RL14" s="0"/>
      <c r="RM14" s="0"/>
      <c r="RN14" s="0"/>
      <c r="RO14" s="0"/>
      <c r="RP14" s="0"/>
      <c r="RQ14" s="0"/>
      <c r="RR14" s="0"/>
      <c r="RS14" s="0"/>
      <c r="RT14" s="0"/>
      <c r="RU14" s="0"/>
      <c r="RV14" s="0"/>
      <c r="RW14" s="0"/>
      <c r="RX14" s="0"/>
      <c r="RY14" s="0"/>
      <c r="RZ14" s="0"/>
      <c r="SA14" s="0"/>
      <c r="SB14" s="0"/>
      <c r="SC14" s="0"/>
      <c r="SD14" s="0"/>
      <c r="SE14" s="0"/>
      <c r="SF14" s="0"/>
      <c r="SG14" s="0"/>
      <c r="SH14" s="0"/>
      <c r="SI14" s="0"/>
      <c r="SJ14" s="0"/>
      <c r="SK14" s="0"/>
      <c r="SL14" s="0"/>
      <c r="SM14" s="0"/>
      <c r="SN14" s="0"/>
      <c r="SO14" s="0"/>
      <c r="SP14" s="0"/>
      <c r="SQ14" s="0"/>
      <c r="SR14" s="0"/>
      <c r="SS14" s="0"/>
      <c r="ST14" s="0"/>
      <c r="SU14" s="0"/>
      <c r="SV14" s="0"/>
      <c r="SW14" s="0"/>
      <c r="SX14" s="0"/>
      <c r="SY14" s="0"/>
      <c r="SZ14" s="0"/>
      <c r="TA14" s="0"/>
      <c r="TB14" s="0"/>
      <c r="TC14" s="0"/>
      <c r="TD14" s="0"/>
      <c r="TE14" s="0"/>
      <c r="TF14" s="0"/>
      <c r="TG14" s="0"/>
      <c r="TH14" s="0"/>
      <c r="TI14" s="0"/>
      <c r="TJ14" s="0"/>
      <c r="TK14" s="0"/>
      <c r="TL14" s="0"/>
      <c r="TM14" s="0"/>
      <c r="TN14" s="0"/>
      <c r="TO14" s="0"/>
      <c r="TP14" s="0"/>
      <c r="TQ14" s="0"/>
      <c r="TR14" s="0"/>
      <c r="TS14" s="0"/>
      <c r="TT14" s="0"/>
      <c r="TU14" s="0"/>
      <c r="TV14" s="0"/>
      <c r="TW14" s="0"/>
      <c r="TX14" s="0"/>
      <c r="TY14" s="0"/>
      <c r="TZ14" s="0"/>
      <c r="UA14" s="0"/>
      <c r="UB14" s="0"/>
      <c r="UC14" s="0"/>
      <c r="UD14" s="0"/>
      <c r="UE14" s="0"/>
      <c r="UF14" s="0"/>
      <c r="UG14" s="0"/>
      <c r="UH14" s="0"/>
      <c r="UI14" s="0"/>
      <c r="UJ14" s="0"/>
      <c r="UK14" s="0"/>
      <c r="UL14" s="0"/>
      <c r="UM14" s="0"/>
      <c r="UN14" s="0"/>
      <c r="UO14" s="0"/>
      <c r="UP14" s="0"/>
      <c r="UQ14" s="0"/>
      <c r="UR14" s="0"/>
      <c r="US14" s="0"/>
      <c r="UT14" s="0"/>
      <c r="UU14" s="0"/>
      <c r="UV14" s="0"/>
      <c r="UW14" s="0"/>
      <c r="UX14" s="0"/>
      <c r="UY14" s="0"/>
      <c r="UZ14" s="0"/>
      <c r="VA14" s="0"/>
      <c r="VB14" s="0"/>
      <c r="VC14" s="0"/>
      <c r="VD14" s="0"/>
      <c r="VE14" s="0"/>
      <c r="VF14" s="0"/>
      <c r="VG14" s="0"/>
      <c r="VH14" s="0"/>
      <c r="VI14" s="0"/>
      <c r="VJ14" s="0"/>
      <c r="VK14" s="0"/>
      <c r="VL14" s="0"/>
      <c r="VM14" s="0"/>
      <c r="VN14" s="0"/>
      <c r="VO14" s="0"/>
      <c r="VP14" s="0"/>
      <c r="VQ14" s="0"/>
      <c r="VR14" s="0"/>
      <c r="VS14" s="0"/>
      <c r="VT14" s="0"/>
      <c r="VU14" s="0"/>
      <c r="VV14" s="0"/>
      <c r="VW14" s="0"/>
      <c r="VX14" s="0"/>
      <c r="VY14" s="0"/>
      <c r="VZ14" s="0"/>
      <c r="WA14" s="0"/>
      <c r="WB14" s="0"/>
      <c r="WC14" s="0"/>
      <c r="WD14" s="0"/>
      <c r="WE14" s="0"/>
      <c r="WF14" s="0"/>
      <c r="WG14" s="0"/>
      <c r="WH14" s="0"/>
      <c r="WI14" s="0"/>
      <c r="WJ14" s="0"/>
      <c r="WK14" s="0"/>
      <c r="WL14" s="0"/>
      <c r="WM14" s="0"/>
      <c r="WN14" s="0"/>
      <c r="WO14" s="0"/>
      <c r="WP14" s="0"/>
      <c r="WQ14" s="0"/>
      <c r="WR14" s="0"/>
      <c r="WS14" s="0"/>
      <c r="WT14" s="0"/>
      <c r="WU14" s="0"/>
      <c r="WV14" s="0"/>
      <c r="WW14" s="0"/>
      <c r="WX14" s="0"/>
      <c r="WY14" s="0"/>
      <c r="WZ14" s="0"/>
      <c r="XA14" s="0"/>
      <c r="XB14" s="0"/>
      <c r="XC14" s="0"/>
      <c r="XD14" s="0"/>
      <c r="XE14" s="0"/>
      <c r="XF14" s="0"/>
      <c r="XG14" s="0"/>
      <c r="XH14" s="0"/>
      <c r="XI14" s="0"/>
      <c r="XJ14" s="0"/>
      <c r="XK14" s="0"/>
      <c r="XL14" s="0"/>
      <c r="XM14" s="0"/>
      <c r="XN14" s="0"/>
      <c r="XO14" s="0"/>
      <c r="XP14" s="0"/>
      <c r="XQ14" s="0"/>
      <c r="XR14" s="0"/>
      <c r="XS14" s="0"/>
      <c r="XT14" s="0"/>
      <c r="XU14" s="0"/>
      <c r="XV14" s="0"/>
      <c r="XW14" s="0"/>
      <c r="XX14" s="0"/>
      <c r="XY14" s="0"/>
      <c r="XZ14" s="0"/>
      <c r="YA14" s="0"/>
      <c r="YB14" s="0"/>
      <c r="YC14" s="0"/>
      <c r="YD14" s="0"/>
      <c r="YE14" s="0"/>
      <c r="YF14" s="0"/>
      <c r="YG14" s="0"/>
      <c r="YH14" s="0"/>
      <c r="YI14" s="0"/>
      <c r="YJ14" s="0"/>
      <c r="YK14" s="0"/>
      <c r="YL14" s="0"/>
      <c r="YM14" s="0"/>
      <c r="YN14" s="0"/>
      <c r="YO14" s="0"/>
      <c r="YP14" s="0"/>
      <c r="YQ14" s="0"/>
      <c r="YR14" s="0"/>
      <c r="YS14" s="0"/>
      <c r="YT14" s="0"/>
      <c r="YU14" s="0"/>
      <c r="YV14" s="0"/>
      <c r="YW14" s="0"/>
      <c r="YX14" s="0"/>
      <c r="YY14" s="0"/>
      <c r="YZ14" s="0"/>
      <c r="ZA14" s="0"/>
      <c r="ZB14" s="0"/>
      <c r="ZC14" s="0"/>
      <c r="ZD14" s="0"/>
      <c r="ZE14" s="0"/>
      <c r="ZF14" s="0"/>
      <c r="ZG14" s="0"/>
      <c r="ZH14" s="0"/>
      <c r="ZI14" s="0"/>
      <c r="ZJ14" s="0"/>
      <c r="ZK14" s="0"/>
      <c r="ZL14" s="0"/>
      <c r="ZM14" s="0"/>
      <c r="ZN14" s="0"/>
      <c r="ZO14" s="0"/>
      <c r="ZP14" s="0"/>
      <c r="ZQ14" s="0"/>
      <c r="ZR14" s="0"/>
      <c r="ZS14" s="0"/>
      <c r="ZT14" s="0"/>
      <c r="ZU14" s="0"/>
      <c r="ZV14" s="0"/>
      <c r="ZW14" s="0"/>
      <c r="ZX14" s="0"/>
      <c r="ZY14" s="0"/>
      <c r="ZZ14" s="0"/>
      <c r="AAA14" s="0"/>
      <c r="AAB14" s="0"/>
      <c r="AAC14" s="0"/>
      <c r="AAD14" s="0"/>
      <c r="AAE14" s="0"/>
      <c r="AAF14" s="0"/>
      <c r="AAG14" s="0"/>
      <c r="AAH14" s="0"/>
      <c r="AAI14" s="0"/>
      <c r="AAJ14" s="0"/>
      <c r="AAK14" s="0"/>
      <c r="AAL14" s="0"/>
      <c r="AAM14" s="0"/>
      <c r="AAN14" s="0"/>
      <c r="AAO14" s="0"/>
      <c r="AAP14" s="0"/>
      <c r="AAQ14" s="0"/>
      <c r="AAR14" s="0"/>
      <c r="AAS14" s="0"/>
      <c r="AAT14" s="0"/>
      <c r="AAU14" s="0"/>
      <c r="AAV14" s="0"/>
      <c r="AAW14" s="0"/>
      <c r="AAX14" s="0"/>
      <c r="AAY14" s="0"/>
      <c r="AAZ14" s="0"/>
      <c r="ABA14" s="0"/>
      <c r="ABB14" s="0"/>
      <c r="ABC14" s="0"/>
      <c r="ABD14" s="0"/>
      <c r="ABE14" s="0"/>
      <c r="ABF14" s="0"/>
      <c r="ABG14" s="0"/>
      <c r="ABH14" s="0"/>
      <c r="ABI14" s="0"/>
      <c r="ABJ14" s="0"/>
      <c r="ABK14" s="0"/>
      <c r="ABL14" s="0"/>
      <c r="ABM14" s="0"/>
      <c r="ABN14" s="0"/>
      <c r="ABO14" s="0"/>
      <c r="ABP14" s="0"/>
      <c r="ABQ14" s="0"/>
      <c r="ABR14" s="0"/>
      <c r="ABS14" s="0"/>
      <c r="ABT14" s="0"/>
      <c r="ABU14" s="0"/>
      <c r="ABV14" s="0"/>
      <c r="ABW14" s="0"/>
      <c r="ABX14" s="0"/>
      <c r="ABY14" s="0"/>
      <c r="ABZ14" s="0"/>
      <c r="ACA14" s="0"/>
      <c r="ACB14" s="0"/>
      <c r="ACC14" s="0"/>
      <c r="ACD14" s="0"/>
      <c r="ACE14" s="0"/>
      <c r="ACF14" s="0"/>
      <c r="ACG14" s="0"/>
      <c r="ACH14" s="0"/>
      <c r="ACI14" s="0"/>
      <c r="ACJ14" s="0"/>
      <c r="ACK14" s="0"/>
      <c r="ACL14" s="0"/>
      <c r="ACM14" s="0"/>
      <c r="ACN14" s="0"/>
      <c r="ACO14" s="0"/>
      <c r="ACP14" s="0"/>
      <c r="ACQ14" s="0"/>
      <c r="ACR14" s="0"/>
      <c r="ACS14" s="0"/>
      <c r="ACT14" s="0"/>
      <c r="ACU14" s="0"/>
      <c r="ACV14" s="0"/>
      <c r="ACW14" s="0"/>
      <c r="ACX14" s="0"/>
      <c r="ACY14" s="0"/>
      <c r="ACZ14" s="0"/>
      <c r="ADA14" s="0"/>
      <c r="ADB14" s="0"/>
      <c r="ADC14" s="0"/>
      <c r="ADD14" s="0"/>
      <c r="ADE14" s="0"/>
      <c r="ADF14" s="0"/>
      <c r="ADG14" s="0"/>
      <c r="ADH14" s="0"/>
      <c r="ADI14" s="0"/>
      <c r="ADJ14" s="0"/>
      <c r="ADK14" s="0"/>
      <c r="ADL14" s="0"/>
      <c r="ADM14" s="0"/>
      <c r="ADN14" s="0"/>
      <c r="ADO14" s="0"/>
      <c r="ADP14" s="0"/>
      <c r="ADQ14" s="0"/>
      <c r="ADR14" s="0"/>
      <c r="ADS14" s="0"/>
      <c r="ADT14" s="0"/>
      <c r="ADU14" s="0"/>
      <c r="ADV14" s="0"/>
      <c r="ADW14" s="0"/>
      <c r="ADX14" s="0"/>
      <c r="ADY14" s="0"/>
      <c r="ADZ14" s="0"/>
      <c r="AEA14" s="0"/>
      <c r="AEB14" s="0"/>
      <c r="AEC14" s="0"/>
      <c r="AED14" s="0"/>
      <c r="AEE14" s="0"/>
      <c r="AEF14" s="0"/>
      <c r="AEG14" s="0"/>
      <c r="AEH14" s="0"/>
      <c r="AEI14" s="0"/>
      <c r="AEJ14" s="0"/>
      <c r="AEK14" s="0"/>
      <c r="AEL14" s="0"/>
      <c r="AEM14" s="0"/>
      <c r="AEN14" s="0"/>
      <c r="AEO14" s="0"/>
      <c r="AEP14" s="0"/>
      <c r="AEQ14" s="0"/>
      <c r="AER14" s="0"/>
      <c r="AES14" s="0"/>
      <c r="AET14" s="0"/>
      <c r="AEU14" s="0"/>
      <c r="AEV14" s="0"/>
      <c r="AEW14" s="0"/>
      <c r="AEX14" s="0"/>
      <c r="AEY14" s="0"/>
      <c r="AEZ14" s="0"/>
      <c r="AFA14" s="0"/>
      <c r="AFB14" s="0"/>
      <c r="AFC14" s="0"/>
      <c r="AFD14" s="0"/>
      <c r="AFE14" s="0"/>
      <c r="AFF14" s="0"/>
      <c r="AFG14" s="0"/>
      <c r="AFH14" s="0"/>
      <c r="AFI14" s="0"/>
      <c r="AFJ14" s="0"/>
      <c r="AFK14" s="0"/>
      <c r="AFL14" s="0"/>
      <c r="AFM14" s="0"/>
      <c r="AFN14" s="0"/>
      <c r="AFO14" s="0"/>
      <c r="AFP14" s="0"/>
      <c r="AFQ14" s="0"/>
      <c r="AFR14" s="0"/>
      <c r="AFS14" s="0"/>
      <c r="AFT14" s="0"/>
      <c r="AFU14" s="0"/>
      <c r="AFV14" s="0"/>
      <c r="AFW14" s="0"/>
      <c r="AFX14" s="0"/>
      <c r="AFY14" s="0"/>
      <c r="AFZ14" s="0"/>
      <c r="AGA14" s="0"/>
      <c r="AGB14" s="0"/>
      <c r="AGC14" s="0"/>
      <c r="AGD14" s="0"/>
      <c r="AGE14" s="0"/>
      <c r="AGF14" s="0"/>
      <c r="AGG14" s="0"/>
      <c r="AGH14" s="0"/>
      <c r="AGI14" s="0"/>
      <c r="AGJ14" s="0"/>
      <c r="AGK14" s="0"/>
      <c r="AGL14" s="0"/>
      <c r="AGM14" s="0"/>
      <c r="AGN14" s="0"/>
      <c r="AGO14" s="0"/>
      <c r="AGP14" s="0"/>
      <c r="AGQ14" s="0"/>
      <c r="AGR14" s="0"/>
      <c r="AGS14" s="0"/>
      <c r="AGT14" s="0"/>
      <c r="AGU14" s="0"/>
      <c r="AGV14" s="0"/>
      <c r="AGW14" s="0"/>
      <c r="AGX14" s="0"/>
      <c r="AGY14" s="0"/>
      <c r="AGZ14" s="0"/>
      <c r="AHA14" s="0"/>
      <c r="AHB14" s="0"/>
      <c r="AHC14" s="0"/>
      <c r="AHD14" s="0"/>
      <c r="AHE14" s="0"/>
      <c r="AHF14" s="0"/>
      <c r="AHG14" s="0"/>
      <c r="AHH14" s="0"/>
      <c r="AHI14" s="0"/>
      <c r="AHJ14" s="0"/>
      <c r="AHK14" s="0"/>
      <c r="AHL14" s="0"/>
      <c r="AHM14" s="0"/>
      <c r="AHN14" s="0"/>
      <c r="AHO14" s="0"/>
      <c r="AHP14" s="0"/>
      <c r="AHQ14" s="0"/>
      <c r="AHR14" s="0"/>
      <c r="AHS14" s="0"/>
      <c r="AHT14" s="0"/>
      <c r="AHU14" s="0"/>
      <c r="AHV14" s="0"/>
      <c r="AHW14" s="0"/>
      <c r="AHX14" s="0"/>
      <c r="AHY14" s="0"/>
      <c r="AHZ14" s="0"/>
      <c r="AIA14" s="0"/>
      <c r="AIB14" s="0"/>
      <c r="AIC14" s="0"/>
      <c r="AID14" s="0"/>
      <c r="AIE14" s="0"/>
      <c r="AIF14" s="0"/>
      <c r="AIG14" s="0"/>
      <c r="AIH14" s="0"/>
      <c r="AII14" s="0"/>
      <c r="AIJ14" s="0"/>
      <c r="AIK14" s="0"/>
      <c r="AIL14" s="0"/>
      <c r="AIM14" s="0"/>
      <c r="AIN14" s="0"/>
      <c r="AIO14" s="0"/>
      <c r="AIP14" s="0"/>
      <c r="AIQ14" s="0"/>
      <c r="AIR14" s="0"/>
      <c r="AIS14" s="0"/>
      <c r="AIT14" s="0"/>
      <c r="AIU14" s="0"/>
      <c r="AIV14" s="0"/>
      <c r="AIW14" s="0"/>
      <c r="AIX14" s="0"/>
      <c r="AIY14" s="0"/>
      <c r="AIZ14" s="0"/>
      <c r="AJA14" s="0"/>
      <c r="AJB14" s="0"/>
      <c r="AJC14" s="0"/>
      <c r="AJD14" s="0"/>
      <c r="AJE14" s="0"/>
      <c r="AJF14" s="0"/>
      <c r="AJG14" s="0"/>
      <c r="AJH14" s="0"/>
      <c r="AJI14" s="0"/>
      <c r="AJJ14" s="0"/>
      <c r="AJK14" s="0"/>
      <c r="AJL14" s="0"/>
      <c r="AJM14" s="0"/>
      <c r="AJN14" s="0"/>
      <c r="AJO14" s="0"/>
      <c r="AJP14" s="0"/>
      <c r="AJQ14" s="0"/>
      <c r="AJR14" s="0"/>
      <c r="AJS14" s="0"/>
      <c r="AJT14" s="0"/>
      <c r="AJU14" s="0"/>
      <c r="AJV14" s="0"/>
      <c r="AJW14" s="0"/>
      <c r="AJX14" s="0"/>
      <c r="AJY14" s="0"/>
      <c r="AJZ14" s="0"/>
      <c r="AKA14" s="0"/>
      <c r="AKB14" s="0"/>
      <c r="AKC14" s="0"/>
      <c r="AKD14" s="0"/>
      <c r="AKE14" s="0"/>
      <c r="AKF14" s="0"/>
      <c r="AKG14" s="0"/>
      <c r="AKH14" s="0"/>
      <c r="AKI14" s="0"/>
      <c r="AKJ14" s="0"/>
      <c r="AKK14" s="0"/>
      <c r="AKL14" s="0"/>
      <c r="AKM14" s="0"/>
      <c r="AKN14" s="0"/>
      <c r="AKO14" s="0"/>
      <c r="AKP14" s="0"/>
      <c r="AKQ14" s="0"/>
      <c r="AKR14" s="0"/>
      <c r="AKS14" s="0"/>
      <c r="AKT14" s="0"/>
      <c r="AKU14" s="0"/>
      <c r="AKV14" s="0"/>
      <c r="AKW14" s="0"/>
      <c r="AKX14" s="0"/>
      <c r="AKY14" s="0"/>
      <c r="AKZ14" s="0"/>
      <c r="ALA14" s="0"/>
      <c r="ALB14" s="0"/>
      <c r="ALC14" s="0"/>
      <c r="ALD14" s="0"/>
      <c r="ALE14" s="0"/>
      <c r="ALF14" s="0"/>
      <c r="ALG14" s="0"/>
      <c r="ALH14" s="0"/>
      <c r="ALI14" s="0"/>
      <c r="ALJ14" s="0"/>
      <c r="ALK14" s="0"/>
      <c r="ALL14" s="0"/>
      <c r="ALM14" s="0"/>
      <c r="ALN14" s="0"/>
      <c r="ALO14" s="0"/>
      <c r="ALP14" s="0"/>
      <c r="ALQ14" s="0"/>
      <c r="ALR14" s="0"/>
      <c r="ALS14" s="0"/>
      <c r="ALT14" s="0"/>
      <c r="ALU14" s="0"/>
      <c r="ALV14" s="0"/>
      <c r="ALW14" s="0"/>
      <c r="ALX14" s="0"/>
      <c r="ALY14" s="0"/>
      <c r="ALZ14" s="0"/>
      <c r="AMA14" s="0"/>
      <c r="AMB14" s="0"/>
      <c r="AMC14" s="0"/>
      <c r="AMD14" s="0"/>
      <c r="AME14" s="0"/>
      <c r="AMF14" s="0"/>
      <c r="AMG14" s="0"/>
      <c r="AMH14" s="0"/>
      <c r="AMI14" s="0"/>
      <c r="AMJ14" s="0"/>
    </row>
    <row r="15" customFormat="false" ht="15" hidden="false" customHeight="false" outlineLevel="0" collapsed="false">
      <c r="A15" s="9" t="s">
        <v>35</v>
      </c>
      <c r="B15" s="9" t="s">
        <v>36</v>
      </c>
      <c r="C15" s="15" t="n">
        <f aca="false">520/128/30</f>
        <v>0.135416666666667</v>
      </c>
      <c r="D15" s="16"/>
      <c r="E15" s="18" t="s">
        <v>31</v>
      </c>
      <c r="F15" s="17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  <c r="IX15" s="0"/>
      <c r="IY15" s="0"/>
      <c r="IZ15" s="0"/>
      <c r="JA15" s="0"/>
      <c r="JB15" s="0"/>
      <c r="JC15" s="0"/>
      <c r="JD15" s="0"/>
      <c r="JE15" s="0"/>
      <c r="JF15" s="0"/>
      <c r="JG15" s="0"/>
      <c r="JH15" s="0"/>
      <c r="JI15" s="0"/>
      <c r="JJ15" s="0"/>
      <c r="JK15" s="0"/>
      <c r="JL15" s="0"/>
      <c r="JM15" s="0"/>
      <c r="JN15" s="0"/>
      <c r="JO15" s="0"/>
      <c r="JP15" s="0"/>
      <c r="JQ15" s="0"/>
      <c r="JR15" s="0"/>
      <c r="JS15" s="0"/>
      <c r="JT15" s="0"/>
      <c r="JU15" s="0"/>
      <c r="JV15" s="0"/>
      <c r="JW15" s="0"/>
      <c r="JX15" s="0"/>
      <c r="JY15" s="0"/>
      <c r="JZ15" s="0"/>
      <c r="KA15" s="0"/>
      <c r="KB15" s="0"/>
      <c r="KC15" s="0"/>
      <c r="KD15" s="0"/>
      <c r="KE15" s="0"/>
      <c r="KF15" s="0"/>
      <c r="KG15" s="0"/>
      <c r="KH15" s="0"/>
      <c r="KI15" s="0"/>
      <c r="KJ15" s="0"/>
      <c r="KK15" s="0"/>
      <c r="KL15" s="0"/>
      <c r="KM15" s="0"/>
      <c r="KN15" s="0"/>
      <c r="KO15" s="0"/>
      <c r="KP15" s="0"/>
      <c r="KQ15" s="0"/>
      <c r="KR15" s="0"/>
      <c r="KS15" s="0"/>
      <c r="KT15" s="0"/>
      <c r="KU15" s="0"/>
      <c r="KV15" s="0"/>
      <c r="KW15" s="0"/>
      <c r="KX15" s="0"/>
      <c r="KY15" s="0"/>
      <c r="KZ15" s="0"/>
      <c r="LA15" s="0"/>
      <c r="LB15" s="0"/>
      <c r="LC15" s="0"/>
      <c r="LD15" s="0"/>
      <c r="LE15" s="0"/>
      <c r="LF15" s="0"/>
      <c r="LG15" s="0"/>
      <c r="LH15" s="0"/>
      <c r="LI15" s="0"/>
      <c r="LJ15" s="0"/>
      <c r="LK15" s="0"/>
      <c r="LL15" s="0"/>
      <c r="LM15" s="0"/>
      <c r="LN15" s="0"/>
      <c r="LO15" s="0"/>
      <c r="LP15" s="0"/>
      <c r="LQ15" s="0"/>
      <c r="LR15" s="0"/>
      <c r="LS15" s="0"/>
      <c r="LT15" s="0"/>
      <c r="LU15" s="0"/>
      <c r="LV15" s="0"/>
      <c r="LW15" s="0"/>
      <c r="LX15" s="0"/>
      <c r="LY15" s="0"/>
      <c r="LZ15" s="0"/>
      <c r="MA15" s="0"/>
      <c r="MB15" s="0"/>
      <c r="MC15" s="0"/>
      <c r="MD15" s="0"/>
      <c r="ME15" s="0"/>
      <c r="MF15" s="0"/>
      <c r="MG15" s="0"/>
      <c r="MH15" s="0"/>
      <c r="MI15" s="0"/>
      <c r="MJ15" s="0"/>
      <c r="MK15" s="0"/>
      <c r="ML15" s="0"/>
      <c r="MM15" s="0"/>
      <c r="MN15" s="0"/>
      <c r="MO15" s="0"/>
      <c r="MP15" s="0"/>
      <c r="MQ15" s="0"/>
      <c r="MR15" s="0"/>
      <c r="MS15" s="0"/>
      <c r="MT15" s="0"/>
      <c r="MU15" s="0"/>
      <c r="MV15" s="0"/>
      <c r="MW15" s="0"/>
      <c r="MX15" s="0"/>
      <c r="MY15" s="0"/>
      <c r="MZ15" s="0"/>
      <c r="NA15" s="0"/>
      <c r="NB15" s="0"/>
      <c r="NC15" s="0"/>
      <c r="ND15" s="0"/>
      <c r="NE15" s="0"/>
      <c r="NF15" s="0"/>
      <c r="NG15" s="0"/>
      <c r="NH15" s="0"/>
      <c r="NI15" s="0"/>
      <c r="NJ15" s="0"/>
      <c r="NK15" s="0"/>
      <c r="NL15" s="0"/>
      <c r="NM15" s="0"/>
      <c r="NN15" s="0"/>
      <c r="NO15" s="0"/>
      <c r="NP15" s="0"/>
      <c r="NQ15" s="0"/>
      <c r="NR15" s="0"/>
      <c r="NS15" s="0"/>
      <c r="NT15" s="0"/>
      <c r="NU15" s="0"/>
      <c r="NV15" s="0"/>
      <c r="NW15" s="0"/>
      <c r="NX15" s="0"/>
      <c r="NY15" s="0"/>
      <c r="NZ15" s="0"/>
      <c r="OA15" s="0"/>
      <c r="OB15" s="0"/>
      <c r="OC15" s="0"/>
      <c r="OD15" s="0"/>
      <c r="OE15" s="0"/>
      <c r="OF15" s="0"/>
      <c r="OG15" s="0"/>
      <c r="OH15" s="0"/>
      <c r="OI15" s="0"/>
      <c r="OJ15" s="0"/>
      <c r="OK15" s="0"/>
      <c r="OL15" s="0"/>
      <c r="OM15" s="0"/>
      <c r="ON15" s="0"/>
      <c r="OO15" s="0"/>
      <c r="OP15" s="0"/>
      <c r="OQ15" s="0"/>
      <c r="OR15" s="0"/>
      <c r="OS15" s="0"/>
      <c r="OT15" s="0"/>
      <c r="OU15" s="0"/>
      <c r="OV15" s="0"/>
      <c r="OW15" s="0"/>
      <c r="OX15" s="0"/>
      <c r="OY15" s="0"/>
      <c r="OZ15" s="0"/>
      <c r="PA15" s="0"/>
      <c r="PB15" s="0"/>
      <c r="PC15" s="0"/>
      <c r="PD15" s="0"/>
      <c r="PE15" s="0"/>
      <c r="PF15" s="0"/>
      <c r="PG15" s="0"/>
      <c r="PH15" s="0"/>
      <c r="PI15" s="0"/>
      <c r="PJ15" s="0"/>
      <c r="PK15" s="0"/>
      <c r="PL15" s="0"/>
      <c r="PM15" s="0"/>
      <c r="PN15" s="0"/>
      <c r="PO15" s="0"/>
      <c r="PP15" s="0"/>
      <c r="PQ15" s="0"/>
      <c r="PR15" s="0"/>
      <c r="PS15" s="0"/>
      <c r="PT15" s="0"/>
      <c r="PU15" s="0"/>
      <c r="PV15" s="0"/>
      <c r="PW15" s="0"/>
      <c r="PX15" s="0"/>
      <c r="PY15" s="0"/>
      <c r="PZ15" s="0"/>
      <c r="QA15" s="0"/>
      <c r="QB15" s="0"/>
      <c r="QC15" s="0"/>
      <c r="QD15" s="0"/>
      <c r="QE15" s="0"/>
      <c r="QF15" s="0"/>
      <c r="QG15" s="0"/>
      <c r="QH15" s="0"/>
      <c r="QI15" s="0"/>
      <c r="QJ15" s="0"/>
      <c r="QK15" s="0"/>
      <c r="QL15" s="0"/>
      <c r="QM15" s="0"/>
      <c r="QN15" s="0"/>
      <c r="QO15" s="0"/>
      <c r="QP15" s="0"/>
      <c r="QQ15" s="0"/>
      <c r="QR15" s="0"/>
      <c r="QS15" s="0"/>
      <c r="QT15" s="0"/>
      <c r="QU15" s="0"/>
      <c r="QV15" s="0"/>
      <c r="QW15" s="0"/>
      <c r="QX15" s="0"/>
      <c r="QY15" s="0"/>
      <c r="QZ15" s="0"/>
      <c r="RA15" s="0"/>
      <c r="RB15" s="0"/>
      <c r="RC15" s="0"/>
      <c r="RD15" s="0"/>
      <c r="RE15" s="0"/>
      <c r="RF15" s="0"/>
      <c r="RG15" s="0"/>
      <c r="RH15" s="0"/>
      <c r="RI15" s="0"/>
      <c r="RJ15" s="0"/>
      <c r="RK15" s="0"/>
      <c r="RL15" s="0"/>
      <c r="RM15" s="0"/>
      <c r="RN15" s="0"/>
      <c r="RO15" s="0"/>
      <c r="RP15" s="0"/>
      <c r="RQ15" s="0"/>
      <c r="RR15" s="0"/>
      <c r="RS15" s="0"/>
      <c r="RT15" s="0"/>
      <c r="RU15" s="0"/>
      <c r="RV15" s="0"/>
      <c r="RW15" s="0"/>
      <c r="RX15" s="0"/>
      <c r="RY15" s="0"/>
      <c r="RZ15" s="0"/>
      <c r="SA15" s="0"/>
      <c r="SB15" s="0"/>
      <c r="SC15" s="0"/>
      <c r="SD15" s="0"/>
      <c r="SE15" s="0"/>
      <c r="SF15" s="0"/>
      <c r="SG15" s="0"/>
      <c r="SH15" s="0"/>
      <c r="SI15" s="0"/>
      <c r="SJ15" s="0"/>
      <c r="SK15" s="0"/>
      <c r="SL15" s="0"/>
      <c r="SM15" s="0"/>
      <c r="SN15" s="0"/>
      <c r="SO15" s="0"/>
      <c r="SP15" s="0"/>
      <c r="SQ15" s="0"/>
      <c r="SR15" s="0"/>
      <c r="SS15" s="0"/>
      <c r="ST15" s="0"/>
      <c r="SU15" s="0"/>
      <c r="SV15" s="0"/>
      <c r="SW15" s="0"/>
      <c r="SX15" s="0"/>
      <c r="SY15" s="0"/>
      <c r="SZ15" s="0"/>
      <c r="TA15" s="0"/>
      <c r="TB15" s="0"/>
      <c r="TC15" s="0"/>
      <c r="TD15" s="0"/>
      <c r="TE15" s="0"/>
      <c r="TF15" s="0"/>
      <c r="TG15" s="0"/>
      <c r="TH15" s="0"/>
      <c r="TI15" s="0"/>
      <c r="TJ15" s="0"/>
      <c r="TK15" s="0"/>
      <c r="TL15" s="0"/>
      <c r="TM15" s="0"/>
      <c r="TN15" s="0"/>
      <c r="TO15" s="0"/>
      <c r="TP15" s="0"/>
      <c r="TQ15" s="0"/>
      <c r="TR15" s="0"/>
      <c r="TS15" s="0"/>
      <c r="TT15" s="0"/>
      <c r="TU15" s="0"/>
      <c r="TV15" s="0"/>
      <c r="TW15" s="0"/>
      <c r="TX15" s="0"/>
      <c r="TY15" s="0"/>
      <c r="TZ15" s="0"/>
      <c r="UA15" s="0"/>
      <c r="UB15" s="0"/>
      <c r="UC15" s="0"/>
      <c r="UD15" s="0"/>
      <c r="UE15" s="0"/>
      <c r="UF15" s="0"/>
      <c r="UG15" s="0"/>
      <c r="UH15" s="0"/>
      <c r="UI15" s="0"/>
      <c r="UJ15" s="0"/>
      <c r="UK15" s="0"/>
      <c r="UL15" s="0"/>
      <c r="UM15" s="0"/>
      <c r="UN15" s="0"/>
      <c r="UO15" s="0"/>
      <c r="UP15" s="0"/>
      <c r="UQ15" s="0"/>
      <c r="UR15" s="0"/>
      <c r="US15" s="0"/>
      <c r="UT15" s="0"/>
      <c r="UU15" s="0"/>
      <c r="UV15" s="0"/>
      <c r="UW15" s="0"/>
      <c r="UX15" s="0"/>
      <c r="UY15" s="0"/>
      <c r="UZ15" s="0"/>
      <c r="VA15" s="0"/>
      <c r="VB15" s="0"/>
      <c r="VC15" s="0"/>
      <c r="VD15" s="0"/>
      <c r="VE15" s="0"/>
      <c r="VF15" s="0"/>
      <c r="VG15" s="0"/>
      <c r="VH15" s="0"/>
      <c r="VI15" s="0"/>
      <c r="VJ15" s="0"/>
      <c r="VK15" s="0"/>
      <c r="VL15" s="0"/>
      <c r="VM15" s="0"/>
      <c r="VN15" s="0"/>
      <c r="VO15" s="0"/>
      <c r="VP15" s="0"/>
      <c r="VQ15" s="0"/>
      <c r="VR15" s="0"/>
      <c r="VS15" s="0"/>
      <c r="VT15" s="0"/>
      <c r="VU15" s="0"/>
      <c r="VV15" s="0"/>
      <c r="VW15" s="0"/>
      <c r="VX15" s="0"/>
      <c r="VY15" s="0"/>
      <c r="VZ15" s="0"/>
      <c r="WA15" s="0"/>
      <c r="WB15" s="0"/>
      <c r="WC15" s="0"/>
      <c r="WD15" s="0"/>
      <c r="WE15" s="0"/>
      <c r="WF15" s="0"/>
      <c r="WG15" s="0"/>
      <c r="WH15" s="0"/>
      <c r="WI15" s="0"/>
      <c r="WJ15" s="0"/>
      <c r="WK15" s="0"/>
      <c r="WL15" s="0"/>
      <c r="WM15" s="0"/>
      <c r="WN15" s="0"/>
      <c r="WO15" s="0"/>
      <c r="WP15" s="0"/>
      <c r="WQ15" s="0"/>
      <c r="WR15" s="0"/>
      <c r="WS15" s="0"/>
      <c r="WT15" s="0"/>
      <c r="WU15" s="0"/>
      <c r="WV15" s="0"/>
      <c r="WW15" s="0"/>
      <c r="WX15" s="0"/>
      <c r="WY15" s="0"/>
      <c r="WZ15" s="0"/>
      <c r="XA15" s="0"/>
      <c r="XB15" s="0"/>
      <c r="XC15" s="0"/>
      <c r="XD15" s="0"/>
      <c r="XE15" s="0"/>
      <c r="XF15" s="0"/>
      <c r="XG15" s="0"/>
      <c r="XH15" s="0"/>
      <c r="XI15" s="0"/>
      <c r="XJ15" s="0"/>
      <c r="XK15" s="0"/>
      <c r="XL15" s="0"/>
      <c r="XM15" s="0"/>
      <c r="XN15" s="0"/>
      <c r="XO15" s="0"/>
      <c r="XP15" s="0"/>
      <c r="XQ15" s="0"/>
      <c r="XR15" s="0"/>
      <c r="XS15" s="0"/>
      <c r="XT15" s="0"/>
      <c r="XU15" s="0"/>
      <c r="XV15" s="0"/>
      <c r="XW15" s="0"/>
      <c r="XX15" s="0"/>
      <c r="XY15" s="0"/>
      <c r="XZ15" s="0"/>
      <c r="YA15" s="0"/>
      <c r="YB15" s="0"/>
      <c r="YC15" s="0"/>
      <c r="YD15" s="0"/>
      <c r="YE15" s="0"/>
      <c r="YF15" s="0"/>
      <c r="YG15" s="0"/>
      <c r="YH15" s="0"/>
      <c r="YI15" s="0"/>
      <c r="YJ15" s="0"/>
      <c r="YK15" s="0"/>
      <c r="YL15" s="0"/>
      <c r="YM15" s="0"/>
      <c r="YN15" s="0"/>
      <c r="YO15" s="0"/>
      <c r="YP15" s="0"/>
      <c r="YQ15" s="0"/>
      <c r="YR15" s="0"/>
      <c r="YS15" s="0"/>
      <c r="YT15" s="0"/>
      <c r="YU15" s="0"/>
      <c r="YV15" s="0"/>
      <c r="YW15" s="0"/>
      <c r="YX15" s="0"/>
      <c r="YY15" s="0"/>
      <c r="YZ15" s="0"/>
      <c r="ZA15" s="0"/>
      <c r="ZB15" s="0"/>
      <c r="ZC15" s="0"/>
      <c r="ZD15" s="0"/>
      <c r="ZE15" s="0"/>
      <c r="ZF15" s="0"/>
      <c r="ZG15" s="0"/>
      <c r="ZH15" s="0"/>
      <c r="ZI15" s="0"/>
      <c r="ZJ15" s="0"/>
      <c r="ZK15" s="0"/>
      <c r="ZL15" s="0"/>
      <c r="ZM15" s="0"/>
      <c r="ZN15" s="0"/>
      <c r="ZO15" s="0"/>
      <c r="ZP15" s="0"/>
      <c r="ZQ15" s="0"/>
      <c r="ZR15" s="0"/>
      <c r="ZS15" s="0"/>
      <c r="ZT15" s="0"/>
      <c r="ZU15" s="0"/>
      <c r="ZV15" s="0"/>
      <c r="ZW15" s="0"/>
      <c r="ZX15" s="0"/>
      <c r="ZY15" s="0"/>
      <c r="ZZ15" s="0"/>
      <c r="AAA15" s="0"/>
      <c r="AAB15" s="0"/>
      <c r="AAC15" s="0"/>
      <c r="AAD15" s="0"/>
      <c r="AAE15" s="0"/>
      <c r="AAF15" s="0"/>
      <c r="AAG15" s="0"/>
      <c r="AAH15" s="0"/>
      <c r="AAI15" s="0"/>
      <c r="AAJ15" s="0"/>
      <c r="AAK15" s="0"/>
      <c r="AAL15" s="0"/>
      <c r="AAM15" s="0"/>
      <c r="AAN15" s="0"/>
      <c r="AAO15" s="0"/>
      <c r="AAP15" s="0"/>
      <c r="AAQ15" s="0"/>
      <c r="AAR15" s="0"/>
      <c r="AAS15" s="0"/>
      <c r="AAT15" s="0"/>
      <c r="AAU15" s="0"/>
      <c r="AAV15" s="0"/>
      <c r="AAW15" s="0"/>
      <c r="AAX15" s="0"/>
      <c r="AAY15" s="0"/>
      <c r="AAZ15" s="0"/>
      <c r="ABA15" s="0"/>
      <c r="ABB15" s="0"/>
      <c r="ABC15" s="0"/>
      <c r="ABD15" s="0"/>
      <c r="ABE15" s="0"/>
      <c r="ABF15" s="0"/>
      <c r="ABG15" s="0"/>
      <c r="ABH15" s="0"/>
      <c r="ABI15" s="0"/>
      <c r="ABJ15" s="0"/>
      <c r="ABK15" s="0"/>
      <c r="ABL15" s="0"/>
      <c r="ABM15" s="0"/>
      <c r="ABN15" s="0"/>
      <c r="ABO15" s="0"/>
      <c r="ABP15" s="0"/>
      <c r="ABQ15" s="0"/>
      <c r="ABR15" s="0"/>
      <c r="ABS15" s="0"/>
      <c r="ABT15" s="0"/>
      <c r="ABU15" s="0"/>
      <c r="ABV15" s="0"/>
      <c r="ABW15" s="0"/>
      <c r="ABX15" s="0"/>
      <c r="ABY15" s="0"/>
      <c r="ABZ15" s="0"/>
      <c r="ACA15" s="0"/>
      <c r="ACB15" s="0"/>
      <c r="ACC15" s="0"/>
      <c r="ACD15" s="0"/>
      <c r="ACE15" s="0"/>
      <c r="ACF15" s="0"/>
      <c r="ACG15" s="0"/>
      <c r="ACH15" s="0"/>
      <c r="ACI15" s="0"/>
      <c r="ACJ15" s="0"/>
      <c r="ACK15" s="0"/>
      <c r="ACL15" s="0"/>
      <c r="ACM15" s="0"/>
      <c r="ACN15" s="0"/>
      <c r="ACO15" s="0"/>
      <c r="ACP15" s="0"/>
      <c r="ACQ15" s="0"/>
      <c r="ACR15" s="0"/>
      <c r="ACS15" s="0"/>
      <c r="ACT15" s="0"/>
      <c r="ACU15" s="0"/>
      <c r="ACV15" s="0"/>
      <c r="ACW15" s="0"/>
      <c r="ACX15" s="0"/>
      <c r="ACY15" s="0"/>
      <c r="ACZ15" s="0"/>
      <c r="ADA15" s="0"/>
      <c r="ADB15" s="0"/>
      <c r="ADC15" s="0"/>
      <c r="ADD15" s="0"/>
      <c r="ADE15" s="0"/>
      <c r="ADF15" s="0"/>
      <c r="ADG15" s="0"/>
      <c r="ADH15" s="0"/>
      <c r="ADI15" s="0"/>
      <c r="ADJ15" s="0"/>
      <c r="ADK15" s="0"/>
      <c r="ADL15" s="0"/>
      <c r="ADM15" s="0"/>
      <c r="ADN15" s="0"/>
      <c r="ADO15" s="0"/>
      <c r="ADP15" s="0"/>
      <c r="ADQ15" s="0"/>
      <c r="ADR15" s="0"/>
      <c r="ADS15" s="0"/>
      <c r="ADT15" s="0"/>
      <c r="ADU15" s="0"/>
      <c r="ADV15" s="0"/>
      <c r="ADW15" s="0"/>
      <c r="ADX15" s="0"/>
      <c r="ADY15" s="0"/>
      <c r="ADZ15" s="0"/>
      <c r="AEA15" s="0"/>
      <c r="AEB15" s="0"/>
      <c r="AEC15" s="0"/>
      <c r="AED15" s="0"/>
      <c r="AEE15" s="0"/>
      <c r="AEF15" s="0"/>
      <c r="AEG15" s="0"/>
      <c r="AEH15" s="0"/>
      <c r="AEI15" s="0"/>
      <c r="AEJ15" s="0"/>
      <c r="AEK15" s="0"/>
      <c r="AEL15" s="0"/>
      <c r="AEM15" s="0"/>
      <c r="AEN15" s="0"/>
      <c r="AEO15" s="0"/>
      <c r="AEP15" s="0"/>
      <c r="AEQ15" s="0"/>
      <c r="AER15" s="0"/>
      <c r="AES15" s="0"/>
      <c r="AET15" s="0"/>
      <c r="AEU15" s="0"/>
      <c r="AEV15" s="0"/>
      <c r="AEW15" s="0"/>
      <c r="AEX15" s="0"/>
      <c r="AEY15" s="0"/>
      <c r="AEZ15" s="0"/>
      <c r="AFA15" s="0"/>
      <c r="AFB15" s="0"/>
      <c r="AFC15" s="0"/>
      <c r="AFD15" s="0"/>
      <c r="AFE15" s="0"/>
      <c r="AFF15" s="0"/>
      <c r="AFG15" s="0"/>
      <c r="AFH15" s="0"/>
      <c r="AFI15" s="0"/>
      <c r="AFJ15" s="0"/>
      <c r="AFK15" s="0"/>
      <c r="AFL15" s="0"/>
      <c r="AFM15" s="0"/>
      <c r="AFN15" s="0"/>
      <c r="AFO15" s="0"/>
      <c r="AFP15" s="0"/>
      <c r="AFQ15" s="0"/>
      <c r="AFR15" s="0"/>
      <c r="AFS15" s="0"/>
      <c r="AFT15" s="0"/>
      <c r="AFU15" s="0"/>
      <c r="AFV15" s="0"/>
      <c r="AFW15" s="0"/>
      <c r="AFX15" s="0"/>
      <c r="AFY15" s="0"/>
      <c r="AFZ15" s="0"/>
      <c r="AGA15" s="0"/>
      <c r="AGB15" s="0"/>
      <c r="AGC15" s="0"/>
      <c r="AGD15" s="0"/>
      <c r="AGE15" s="0"/>
      <c r="AGF15" s="0"/>
      <c r="AGG15" s="0"/>
      <c r="AGH15" s="0"/>
      <c r="AGI15" s="0"/>
      <c r="AGJ15" s="0"/>
      <c r="AGK15" s="0"/>
      <c r="AGL15" s="0"/>
      <c r="AGM15" s="0"/>
      <c r="AGN15" s="0"/>
      <c r="AGO15" s="0"/>
      <c r="AGP15" s="0"/>
      <c r="AGQ15" s="0"/>
      <c r="AGR15" s="0"/>
      <c r="AGS15" s="0"/>
      <c r="AGT15" s="0"/>
      <c r="AGU15" s="0"/>
      <c r="AGV15" s="0"/>
      <c r="AGW15" s="0"/>
      <c r="AGX15" s="0"/>
      <c r="AGY15" s="0"/>
      <c r="AGZ15" s="0"/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  <c r="ALM15" s="0"/>
      <c r="ALN15" s="0"/>
      <c r="ALO15" s="0"/>
      <c r="ALP15" s="0"/>
      <c r="ALQ15" s="0"/>
      <c r="ALR15" s="0"/>
      <c r="ALS15" s="0"/>
      <c r="ALT15" s="0"/>
      <c r="ALU15" s="0"/>
      <c r="ALV15" s="0"/>
      <c r="ALW15" s="0"/>
      <c r="ALX15" s="0"/>
      <c r="ALY15" s="0"/>
      <c r="ALZ15" s="0"/>
      <c r="AMA15" s="0"/>
      <c r="AMB15" s="0"/>
      <c r="AMC15" s="0"/>
      <c r="AMD15" s="0"/>
      <c r="AME15" s="0"/>
      <c r="AMF15" s="0"/>
      <c r="AMG15" s="0"/>
      <c r="AMH15" s="0"/>
      <c r="AMI15" s="0"/>
      <c r="AMJ15" s="0"/>
    </row>
    <row r="16" s="1" customFormat="true" ht="15" hidden="false" customHeight="false" outlineLevel="0" collapsed="false">
      <c r="A16" s="21" t="s">
        <v>37</v>
      </c>
      <c r="B16" s="16" t="s">
        <v>38</v>
      </c>
      <c r="C16" s="20" t="n">
        <f aca="false">27.4/14</f>
        <v>1.95714285714286</v>
      </c>
      <c r="E16" s="18" t="s">
        <v>39</v>
      </c>
    </row>
    <row r="17" customFormat="false" ht="15" hidden="false" customHeight="false" outlineLevel="0" collapsed="false">
      <c r="A17" s="9" t="s">
        <v>40</v>
      </c>
      <c r="B17" s="9" t="s">
        <v>41</v>
      </c>
      <c r="C17" s="15" t="n">
        <f aca="false">250/2.2/16/30</f>
        <v>0.236742424242424</v>
      </c>
      <c r="D17" s="16"/>
      <c r="E17" s="18" t="s">
        <v>42</v>
      </c>
      <c r="F17" s="17"/>
      <c r="AMJ17" s="0"/>
    </row>
    <row r="18" customFormat="false" ht="15" hidden="false" customHeight="false" outlineLevel="0" collapsed="false">
      <c r="A18" s="9" t="s">
        <v>43</v>
      </c>
      <c r="B18" s="9" t="s">
        <v>44</v>
      </c>
      <c r="C18" s="15" t="n">
        <f aca="false">14.99/60</f>
        <v>0.249833333333333</v>
      </c>
      <c r="D18" s="9" t="s">
        <v>45</v>
      </c>
      <c r="E18" s="18" t="s">
        <v>46</v>
      </c>
      <c r="F18" s="17" t="n">
        <v>1</v>
      </c>
      <c r="AMJ18" s="0"/>
    </row>
    <row r="19" customFormat="false" ht="15" hidden="false" customHeight="false" outlineLevel="0" collapsed="false">
      <c r="A19" s="1" t="s">
        <v>47</v>
      </c>
      <c r="B19" s="1" t="s">
        <v>48</v>
      </c>
      <c r="C19" s="19" t="n">
        <f aca="false">9.8/225</f>
        <v>0.0435555555555556</v>
      </c>
      <c r="D19" s="16"/>
      <c r="E19" s="1" t="s">
        <v>15</v>
      </c>
      <c r="F19" s="17"/>
      <c r="AMJ19" s="0"/>
    </row>
    <row r="20" customFormat="false" ht="15" hidden="false" customHeight="false" outlineLevel="0" collapsed="false">
      <c r="A20" s="9" t="s">
        <v>49</v>
      </c>
      <c r="B20" s="9" t="s">
        <v>50</v>
      </c>
      <c r="C20" s="15" t="n">
        <f aca="false">102/3785.41</f>
        <v>0.0269455620395149</v>
      </c>
      <c r="D20" s="9"/>
      <c r="E20" s="18" t="s">
        <v>31</v>
      </c>
      <c r="F20" s="17" t="n">
        <v>1</v>
      </c>
      <c r="AMJ20" s="0"/>
    </row>
    <row r="21" customFormat="false" ht="15" hidden="false" customHeight="false" outlineLevel="0" collapsed="false">
      <c r="A21" s="9" t="s">
        <v>51</v>
      </c>
      <c r="B21" s="9" t="s">
        <v>52</v>
      </c>
      <c r="C21" s="15" t="n">
        <f aca="false">7.16/16/30</f>
        <v>0.0149166666666667</v>
      </c>
      <c r="D21" s="16"/>
      <c r="E21" s="18" t="s">
        <v>53</v>
      </c>
      <c r="F21" s="17"/>
      <c r="AMJ21" s="0"/>
    </row>
    <row r="22" customFormat="false" ht="15" hidden="false" customHeight="false" outlineLevel="0" collapsed="false">
      <c r="A22" s="9" t="s">
        <v>54</v>
      </c>
      <c r="B22" s="9" t="s">
        <v>55</v>
      </c>
      <c r="C22" s="15" t="n">
        <f aca="false">299/33.6/30</f>
        <v>0.296626984126984</v>
      </c>
      <c r="D22" s="16"/>
      <c r="E22" s="18" t="s">
        <v>7</v>
      </c>
      <c r="F22" s="17" t="n">
        <v>1</v>
      </c>
      <c r="AMJ22" s="0"/>
    </row>
    <row r="23" customFormat="false" ht="15" hidden="false" customHeight="false" outlineLevel="0" collapsed="false">
      <c r="A23" s="9" t="s">
        <v>56</v>
      </c>
      <c r="B23" s="9" t="s">
        <v>57</v>
      </c>
      <c r="C23" s="15" t="n">
        <f aca="false">33.5/4/30</f>
        <v>0.279166666666667</v>
      </c>
      <c r="D23" s="16"/>
      <c r="E23" s="18" t="s">
        <v>31</v>
      </c>
      <c r="F23" s="17" t="n">
        <v>1</v>
      </c>
      <c r="AMJ23" s="0"/>
    </row>
    <row r="24" customFormat="false" ht="15" hidden="false" customHeight="false" outlineLevel="0" collapsed="false">
      <c r="A24" s="9" t="s">
        <v>58</v>
      </c>
      <c r="B24" s="9" t="s">
        <v>59</v>
      </c>
      <c r="C24" s="15" t="n">
        <f aca="false">276/3785.41</f>
        <v>0.072911520812805</v>
      </c>
      <c r="D24" s="16"/>
      <c r="E24" s="18" t="s">
        <v>10</v>
      </c>
      <c r="F24" s="17"/>
      <c r="AMJ24" s="0"/>
    </row>
    <row r="25" customFormat="false" ht="15" hidden="false" customHeight="false" outlineLevel="0" collapsed="false">
      <c r="A25" s="9" t="s">
        <v>60</v>
      </c>
      <c r="B25" s="9" t="s">
        <v>61</v>
      </c>
      <c r="C25" s="15" t="n">
        <f aca="false">217.28/32/30</f>
        <v>0.226333333333333</v>
      </c>
      <c r="D25" s="16"/>
      <c r="E25" s="18" t="s">
        <v>10</v>
      </c>
      <c r="F25" s="17"/>
      <c r="AMJ25" s="0"/>
    </row>
    <row r="26" customFormat="false" ht="15" hidden="false" customHeight="false" outlineLevel="0" collapsed="false">
      <c r="A26" s="9" t="s">
        <v>62</v>
      </c>
      <c r="B26" s="9" t="s">
        <v>63</v>
      </c>
      <c r="C26" s="15" t="n">
        <f aca="false">32/0.5/30</f>
        <v>2.13333333333333</v>
      </c>
      <c r="D26" s="16"/>
      <c r="E26" s="18"/>
      <c r="F26" s="17" t="n">
        <v>1</v>
      </c>
      <c r="AMJ26" s="0"/>
    </row>
    <row r="27" customFormat="false" ht="15" hidden="false" customHeight="false" outlineLevel="0" collapsed="false">
      <c r="A27" s="9" t="s">
        <v>64</v>
      </c>
      <c r="B27" s="9" t="s">
        <v>65</v>
      </c>
      <c r="C27" s="15" t="n">
        <f aca="false">367/3785.41</f>
        <v>0.0969511889068819</v>
      </c>
      <c r="D27" s="16"/>
      <c r="E27" s="18" t="s">
        <v>31</v>
      </c>
      <c r="F27" s="17" t="n">
        <v>1</v>
      </c>
      <c r="AMJ27" s="0"/>
    </row>
    <row r="28" customFormat="false" ht="15" hidden="false" customHeight="false" outlineLevel="0" collapsed="false">
      <c r="A28" s="1" t="s">
        <v>66</v>
      </c>
      <c r="B28" s="16" t="s">
        <v>67</v>
      </c>
      <c r="C28" s="20" t="n">
        <f aca="false">7.19/16/30</f>
        <v>0.0149791666666667</v>
      </c>
      <c r="D28" s="16"/>
      <c r="E28" s="1" t="s">
        <v>28</v>
      </c>
      <c r="F28" s="16"/>
      <c r="AMJ28" s="0"/>
    </row>
    <row r="29" customFormat="false" ht="15" hidden="false" customHeight="false" outlineLevel="0" collapsed="false">
      <c r="A29" s="9" t="s">
        <v>68</v>
      </c>
      <c r="B29" s="9" t="s">
        <v>69</v>
      </c>
      <c r="C29" s="15" t="n">
        <f aca="false">133.7/3.5/16/30</f>
        <v>0.0795833333333333</v>
      </c>
      <c r="D29" s="16"/>
      <c r="E29" s="18" t="s">
        <v>53</v>
      </c>
      <c r="F29" s="17"/>
      <c r="AMJ29" s="0"/>
    </row>
    <row r="30" customFormat="false" ht="15" hidden="false" customHeight="false" outlineLevel="0" collapsed="false">
      <c r="A30" s="21" t="s">
        <v>70</v>
      </c>
      <c r="B30" s="16" t="s">
        <v>71</v>
      </c>
      <c r="C30" s="20" t="n">
        <f aca="false">25.49/90</f>
        <v>0.283222222222222</v>
      </c>
      <c r="D30" s="16" t="s">
        <v>45</v>
      </c>
      <c r="E30" s="1" t="s">
        <v>28</v>
      </c>
      <c r="F30" s="16"/>
      <c r="AMJ30" s="0"/>
    </row>
    <row r="31" customFormat="false" ht="15" hidden="false" customHeight="false" outlineLevel="0" collapsed="false">
      <c r="A31" s="9" t="s">
        <v>72</v>
      </c>
      <c r="B31" s="9" t="s">
        <v>73</v>
      </c>
      <c r="C31" s="15" t="n">
        <f aca="false">31.75/3785.41</f>
        <v>0.00838746661524115</v>
      </c>
      <c r="D31" s="16"/>
      <c r="E31" s="18" t="s">
        <v>31</v>
      </c>
      <c r="F31" s="17" t="n">
        <v>1</v>
      </c>
      <c r="AMJ31" s="0"/>
    </row>
    <row r="32" customFormat="false" ht="15" hidden="false" customHeight="false" outlineLevel="0" collapsed="false">
      <c r="A32" s="9" t="s">
        <v>74</v>
      </c>
      <c r="B32" s="9" t="s">
        <v>75</v>
      </c>
      <c r="C32" s="15" t="n">
        <f aca="false">90/128/30</f>
        <v>0.0234375</v>
      </c>
      <c r="D32" s="16"/>
      <c r="E32" s="18" t="s">
        <v>76</v>
      </c>
      <c r="F32" s="17"/>
      <c r="AMJ32" s="0"/>
    </row>
    <row r="33" customFormat="false" ht="15" hidden="false" customHeight="false" outlineLevel="0" collapsed="false">
      <c r="A33" s="9" t="s">
        <v>77</v>
      </c>
      <c r="B33" s="9" t="s">
        <v>78</v>
      </c>
      <c r="C33" s="15" t="n">
        <f aca="false">43.75/50</f>
        <v>0.875</v>
      </c>
      <c r="D33" s="16"/>
      <c r="E33" s="18" t="s">
        <v>79</v>
      </c>
      <c r="F33" s="17"/>
      <c r="AMJ33" s="0"/>
    </row>
    <row r="34" customFormat="false" ht="15" hidden="false" customHeight="false" outlineLevel="0" collapsed="false">
      <c r="A34" s="22" t="s">
        <v>80</v>
      </c>
      <c r="B34" s="22" t="s">
        <v>81</v>
      </c>
      <c r="C34" s="23" t="n">
        <f aca="false">39.9/250</f>
        <v>0.1596</v>
      </c>
      <c r="D34" s="22"/>
      <c r="E34" s="22" t="s">
        <v>7</v>
      </c>
      <c r="F34" s="0"/>
      <c r="AMJ34" s="0"/>
    </row>
    <row r="35" customFormat="false" ht="15" hidden="false" customHeight="false" outlineLevel="0" collapsed="false">
      <c r="A35" s="9" t="s">
        <v>82</v>
      </c>
      <c r="B35" s="9" t="s">
        <v>83</v>
      </c>
      <c r="C35" s="15" t="n">
        <f aca="false">422/16/30</f>
        <v>0.879166666666667</v>
      </c>
      <c r="D35" s="16"/>
      <c r="E35" s="18" t="s">
        <v>84</v>
      </c>
      <c r="F35" s="17"/>
      <c r="AMJ35" s="0"/>
    </row>
    <row r="36" customFormat="false" ht="15" hidden="false" customHeight="false" outlineLevel="0" collapsed="false">
      <c r="A36" s="9" t="s">
        <v>85</v>
      </c>
      <c r="B36" s="9"/>
      <c r="C36" s="15"/>
      <c r="D36" s="16"/>
      <c r="E36" s="18" t="s">
        <v>86</v>
      </c>
      <c r="F36" s="17"/>
      <c r="AMJ36" s="0"/>
    </row>
    <row r="37" customFormat="false" ht="15" hidden="false" customHeight="false" outlineLevel="0" collapsed="false">
      <c r="A37" s="9" t="s">
        <v>87</v>
      </c>
      <c r="B37" s="9" t="s">
        <v>88</v>
      </c>
      <c r="C37" s="15" t="n">
        <f aca="false">114.5/250</f>
        <v>0.458</v>
      </c>
      <c r="D37" s="16"/>
      <c r="E37" s="18" t="s">
        <v>7</v>
      </c>
      <c r="F37" s="17"/>
      <c r="AMJ37" s="0"/>
    </row>
    <row r="38" customFormat="false" ht="15" hidden="false" customHeight="false" outlineLevel="0" collapsed="false">
      <c r="A38" s="1" t="s">
        <v>89</v>
      </c>
      <c r="B38" s="16" t="s">
        <v>90</v>
      </c>
      <c r="C38" s="20" t="n">
        <f aca="false">5.99/60</f>
        <v>0.0998333333333333</v>
      </c>
      <c r="D38" s="16"/>
      <c r="E38" s="1" t="s">
        <v>28</v>
      </c>
      <c r="F38" s="16"/>
      <c r="AMJ38" s="0"/>
    </row>
    <row r="39" customFormat="false" ht="15" hidden="false" customHeight="false" outlineLevel="0" collapsed="false">
      <c r="A39" s="9" t="s">
        <v>91</v>
      </c>
      <c r="B39" s="9" t="s">
        <v>92</v>
      </c>
      <c r="C39" s="15" t="n">
        <f aca="false">79/30</f>
        <v>2.63333333333333</v>
      </c>
      <c r="D39" s="16"/>
      <c r="E39" s="18" t="s">
        <v>31</v>
      </c>
      <c r="F39" s="17"/>
      <c r="AMJ39" s="0"/>
    </row>
    <row r="40" customFormat="false" ht="15" hidden="false" customHeight="false" outlineLevel="0" collapsed="false">
      <c r="A40" s="1" t="s">
        <v>93</v>
      </c>
      <c r="B40" s="1" t="s">
        <v>94</v>
      </c>
      <c r="C40" s="19" t="n">
        <f aca="false">14.66 / 30</f>
        <v>0.488666666666667</v>
      </c>
      <c r="D40" s="16"/>
      <c r="E40" s="1" t="s">
        <v>95</v>
      </c>
      <c r="F40" s="17" t="n">
        <v>1</v>
      </c>
      <c r="AMJ40" s="0"/>
    </row>
    <row r="41" customFormat="false" ht="15" hidden="false" customHeight="false" outlineLevel="0" collapsed="false">
      <c r="A41" s="9" t="s">
        <v>96</v>
      </c>
      <c r="B41" s="9" t="s">
        <v>97</v>
      </c>
      <c r="C41" s="15" t="n">
        <f aca="false">136.25/32/30</f>
        <v>0.141927083333333</v>
      </c>
      <c r="D41" s="16"/>
      <c r="E41" s="18" t="s">
        <v>10</v>
      </c>
      <c r="F41" s="17"/>
      <c r="AMJ41" s="0"/>
    </row>
    <row r="42" customFormat="false" ht="15" hidden="false" customHeight="false" outlineLevel="0" collapsed="false">
      <c r="A42" s="9" t="s">
        <v>98</v>
      </c>
      <c r="B42" s="9" t="s">
        <v>99</v>
      </c>
      <c r="C42" s="15" t="n">
        <f aca="false">19.32/5/16/30</f>
        <v>0.00805</v>
      </c>
      <c r="D42" s="16"/>
      <c r="E42" s="18" t="s">
        <v>10</v>
      </c>
      <c r="F42" s="17"/>
      <c r="AMJ42" s="0"/>
    </row>
    <row r="43" customFormat="false" ht="15" hidden="false" customHeight="false" outlineLevel="0" collapsed="false">
      <c r="A43" s="9" t="s">
        <v>100</v>
      </c>
      <c r="B43" s="9" t="s">
        <v>101</v>
      </c>
      <c r="C43" s="15" t="n">
        <f aca="false">223/8/30</f>
        <v>0.929166666666667</v>
      </c>
      <c r="D43" s="16"/>
      <c r="E43" s="18" t="s">
        <v>102</v>
      </c>
      <c r="F43" s="17"/>
      <c r="AMJ43" s="0"/>
    </row>
    <row r="44" customFormat="false" ht="15" hidden="false" customHeight="false" outlineLevel="0" collapsed="false">
      <c r="A44" s="1" t="s">
        <v>103</v>
      </c>
      <c r="B44" s="1" t="s">
        <v>104</v>
      </c>
      <c r="C44" s="19" t="n">
        <f aca="false">11.95/500</f>
        <v>0.0239</v>
      </c>
      <c r="D44" s="16"/>
      <c r="E44" s="1" t="s">
        <v>15</v>
      </c>
      <c r="F44" s="17"/>
      <c r="AMJ44" s="0"/>
    </row>
    <row r="45" customFormat="false" ht="15" hidden="false" customHeight="false" outlineLevel="0" collapsed="false">
      <c r="A45" s="21" t="s">
        <v>105</v>
      </c>
      <c r="B45" s="16" t="s">
        <v>106</v>
      </c>
      <c r="C45" s="20" t="n">
        <f aca="false">9.49/16/30</f>
        <v>0.0197708333333333</v>
      </c>
      <c r="D45" s="16"/>
      <c r="E45" s="1" t="s">
        <v>31</v>
      </c>
      <c r="F45" s="16"/>
      <c r="AMJ45" s="0"/>
    </row>
    <row r="46" customFormat="false" ht="15" hidden="false" customHeight="false" outlineLevel="0" collapsed="false">
      <c r="A46" s="9" t="s">
        <v>107</v>
      </c>
      <c r="B46" s="9" t="s">
        <v>108</v>
      </c>
      <c r="C46" s="15" t="n">
        <f aca="false">19.5/128/30</f>
        <v>0.005078125</v>
      </c>
      <c r="D46" s="16"/>
      <c r="E46" s="18" t="s">
        <v>76</v>
      </c>
      <c r="F46" s="17"/>
      <c r="AMJ46" s="0"/>
    </row>
    <row r="47" customFormat="false" ht="15" hidden="false" customHeight="false" outlineLevel="0" collapsed="false">
      <c r="A47" s="1" t="s">
        <v>109</v>
      </c>
      <c r="B47" s="16"/>
      <c r="C47" s="19" t="n">
        <v>0.05</v>
      </c>
      <c r="D47" s="16"/>
      <c r="E47" s="1" t="s">
        <v>110</v>
      </c>
      <c r="F47" s="17"/>
      <c r="AMJ47" s="0"/>
    </row>
    <row r="48" customFormat="false" ht="15" hidden="false" customHeight="false" outlineLevel="0" collapsed="false">
      <c r="A48" s="9" t="s">
        <v>111</v>
      </c>
      <c r="B48" s="9" t="s">
        <v>112</v>
      </c>
      <c r="C48" s="15" t="n">
        <f aca="false">31.76/1.76/30</f>
        <v>0.601515151515152</v>
      </c>
      <c r="D48" s="16"/>
      <c r="E48" s="18" t="s">
        <v>7</v>
      </c>
      <c r="F48" s="17"/>
      <c r="AMJ48" s="0"/>
    </row>
    <row r="49" customFormat="false" ht="15" hidden="false" customHeight="false" outlineLevel="0" collapsed="false">
      <c r="A49" s="9" t="s">
        <v>113</v>
      </c>
      <c r="B49" s="9"/>
      <c r="C49" s="15"/>
      <c r="D49" s="16"/>
      <c r="E49" s="18"/>
      <c r="F49" s="17"/>
      <c r="AMJ49" s="0"/>
    </row>
    <row r="50" customFormat="false" ht="15" hidden="false" customHeight="false" outlineLevel="0" collapsed="false">
      <c r="A50" s="9" t="s">
        <v>114</v>
      </c>
      <c r="B50" s="9" t="s">
        <v>115</v>
      </c>
      <c r="C50" s="15" t="n">
        <f aca="false">89.99/10/16/30</f>
        <v>0.0187479166666667</v>
      </c>
      <c r="D50" s="16"/>
      <c r="E50" s="18" t="s">
        <v>116</v>
      </c>
      <c r="F50" s="17"/>
      <c r="AMJ50" s="0"/>
    </row>
    <row r="51" customFormat="false" ht="15" hidden="false" customHeight="false" outlineLevel="0" collapsed="false">
      <c r="A51" s="9" t="s">
        <v>117</v>
      </c>
      <c r="B51" s="9" t="s">
        <v>118</v>
      </c>
      <c r="C51" s="15" t="n">
        <f aca="false">144/30/30</f>
        <v>0.16</v>
      </c>
      <c r="D51" s="16"/>
      <c r="E51" s="18" t="s">
        <v>10</v>
      </c>
      <c r="F51" s="3" t="n">
        <v>1</v>
      </c>
      <c r="AMJ51" s="0"/>
    </row>
    <row r="52" customFormat="false" ht="15" hidden="false" customHeight="false" outlineLevel="0" collapsed="false">
      <c r="A52" s="1" t="s">
        <v>119</v>
      </c>
      <c r="B52" s="1" t="s">
        <v>120</v>
      </c>
      <c r="C52" s="19" t="n">
        <f aca="false">10.7/30</f>
        <v>0.356666666666667</v>
      </c>
      <c r="D52" s="16"/>
      <c r="E52" s="1" t="s">
        <v>39</v>
      </c>
      <c r="F52" s="16"/>
      <c r="AMJ52" s="0"/>
    </row>
    <row r="53" customFormat="false" ht="15" hidden="false" customHeight="false" outlineLevel="0" collapsed="false">
      <c r="A53" s="1" t="s">
        <v>121</v>
      </c>
      <c r="B53" s="1" t="s">
        <v>122</v>
      </c>
      <c r="C53" s="19" t="n">
        <f aca="false">14.4/60</f>
        <v>0.24</v>
      </c>
      <c r="D53" s="16"/>
      <c r="E53" s="1" t="s">
        <v>15</v>
      </c>
      <c r="F53" s="17"/>
      <c r="AMJ53" s="0"/>
    </row>
    <row r="54" customFormat="false" ht="15" hidden="false" customHeight="false" outlineLevel="0" collapsed="false">
      <c r="A54" s="1" t="s">
        <v>123</v>
      </c>
      <c r="B54" s="1" t="s">
        <v>124</v>
      </c>
      <c r="C54" s="19" t="n">
        <f aca="false">20.9/30</f>
        <v>0.696666666666667</v>
      </c>
      <c r="D54" s="16"/>
      <c r="E54" s="1" t="s">
        <v>95</v>
      </c>
      <c r="F54" s="17"/>
      <c r="AMJ54" s="0"/>
    </row>
    <row r="55" customFormat="false" ht="15" hidden="false" customHeight="false" outlineLevel="0" collapsed="false">
      <c r="A55" s="9" t="s">
        <v>125</v>
      </c>
      <c r="B55" s="9" t="s">
        <v>126</v>
      </c>
      <c r="C55" s="15" t="n">
        <f aca="false">57.5/16/30</f>
        <v>0.119791666666667</v>
      </c>
      <c r="D55" s="16"/>
      <c r="E55" s="18" t="s">
        <v>84</v>
      </c>
      <c r="F55" s="17"/>
      <c r="AMJ55" s="0"/>
    </row>
    <row r="56" customFormat="false" ht="15" hidden="false" customHeight="false" outlineLevel="0" collapsed="false">
      <c r="A56" s="9" t="s">
        <v>127</v>
      </c>
      <c r="B56" s="9" t="s">
        <v>128</v>
      </c>
      <c r="C56" s="15" t="n">
        <f aca="false">67.5/3.3/16/30</f>
        <v>0.0426136363636364</v>
      </c>
      <c r="D56" s="16"/>
      <c r="E56" s="18" t="s">
        <v>79</v>
      </c>
      <c r="F56" s="17"/>
      <c r="AMJ56" s="0"/>
    </row>
    <row r="57" customFormat="false" ht="15" hidden="false" customHeight="false" outlineLevel="0" collapsed="false">
      <c r="A57" s="22" t="s">
        <v>129</v>
      </c>
      <c r="B57" s="22" t="s">
        <v>130</v>
      </c>
      <c r="C57" s="23" t="n">
        <f aca="false">54/500</f>
        <v>0.108</v>
      </c>
      <c r="D57" s="22"/>
      <c r="E57" s="22" t="s">
        <v>7</v>
      </c>
      <c r="F57" s="0"/>
      <c r="AMJ57" s="0"/>
    </row>
    <row r="58" customFormat="false" ht="15" hidden="false" customHeight="false" outlineLevel="0" collapsed="false">
      <c r="A58" s="9" t="s">
        <v>131</v>
      </c>
      <c r="B58" s="9" t="s">
        <v>132</v>
      </c>
      <c r="C58" s="15" t="n">
        <f aca="false">427.24/1000</f>
        <v>0.42724</v>
      </c>
      <c r="D58" s="16"/>
      <c r="E58" s="18"/>
      <c r="F58" s="17"/>
      <c r="AMJ58" s="0"/>
    </row>
    <row r="59" customFormat="false" ht="15" hidden="false" customHeight="false" outlineLevel="0" collapsed="false">
      <c r="A59" s="9" t="s">
        <v>133</v>
      </c>
      <c r="B59" s="9" t="s">
        <v>134</v>
      </c>
      <c r="C59" s="15" t="n">
        <f aca="false">45.85/3.5/16/30</f>
        <v>0.0272916666666667</v>
      </c>
      <c r="D59" s="16"/>
      <c r="E59" s="18"/>
      <c r="F59" s="17"/>
      <c r="AMJ59" s="0"/>
    </row>
    <row r="60" customFormat="false" ht="15" hidden="false" customHeight="false" outlineLevel="0" collapsed="false">
      <c r="A60" s="21" t="s">
        <v>135</v>
      </c>
      <c r="B60" s="16" t="s">
        <v>136</v>
      </c>
      <c r="C60" s="20" t="n">
        <f aca="false">6.99/30</f>
        <v>0.233</v>
      </c>
      <c r="D60" s="16"/>
      <c r="E60" s="1" t="s">
        <v>137</v>
      </c>
      <c r="F60" s="16"/>
      <c r="AMJ60" s="0"/>
    </row>
    <row r="61" customFormat="false" ht="15.65" hidden="false" customHeight="false" outlineLevel="0" collapsed="false">
      <c r="A61" s="9" t="s">
        <v>138</v>
      </c>
      <c r="B61" s="24" t="s">
        <v>139</v>
      </c>
      <c r="C61" s="15" t="n">
        <f aca="false">5.82/30</f>
        <v>0.194</v>
      </c>
      <c r="D61" s="9" t="s">
        <v>45</v>
      </c>
      <c r="E61" s="18"/>
      <c r="F61" s="17" t="n">
        <v>1</v>
      </c>
      <c r="AMJ61" s="0"/>
    </row>
    <row r="62" customFormat="false" ht="29.85" hidden="false" customHeight="false" outlineLevel="0" collapsed="false">
      <c r="A62" s="9" t="s">
        <v>140</v>
      </c>
      <c r="B62" s="24" t="s">
        <v>141</v>
      </c>
      <c r="C62" s="15" t="n">
        <f aca="false">19 * (1000/275)</f>
        <v>69.0909090909091</v>
      </c>
      <c r="D62" s="9" t="s">
        <v>142</v>
      </c>
      <c r="E62" s="18" t="s">
        <v>28</v>
      </c>
      <c r="F62" s="17"/>
      <c r="AMJ62" s="0"/>
    </row>
    <row r="63" customFormat="false" ht="15" hidden="false" customHeight="false" outlineLevel="0" collapsed="false">
      <c r="A63" s="9" t="s">
        <v>143</v>
      </c>
      <c r="B63" s="9" t="s">
        <v>144</v>
      </c>
      <c r="C63" s="15" t="n">
        <f aca="false">33.5/4/30</f>
        <v>0.279166666666667</v>
      </c>
      <c r="D63" s="16"/>
      <c r="E63" s="18" t="s">
        <v>31</v>
      </c>
      <c r="F63" s="17" t="n">
        <v>1</v>
      </c>
      <c r="AMJ63" s="0"/>
    </row>
    <row r="64" customFormat="false" ht="15" hidden="false" customHeight="false" outlineLevel="0" collapsed="false">
      <c r="A64" s="9" t="s">
        <v>145</v>
      </c>
      <c r="B64" s="9" t="s">
        <v>146</v>
      </c>
      <c r="C64" s="15" t="n">
        <f aca="false">300/128/30</f>
        <v>0.078125</v>
      </c>
      <c r="D64" s="16"/>
      <c r="E64" s="18" t="s">
        <v>147</v>
      </c>
      <c r="F64" s="17"/>
      <c r="AMJ64" s="0"/>
    </row>
    <row r="65" customFormat="false" ht="15" hidden="false" customHeight="false" outlineLevel="0" collapsed="false">
      <c r="A65" s="9" t="s">
        <v>148</v>
      </c>
      <c r="B65" s="9" t="s">
        <v>149</v>
      </c>
      <c r="C65" s="15" t="n">
        <f aca="false">146.36/7/16/30</f>
        <v>0.0435595238095238</v>
      </c>
      <c r="D65" s="16"/>
      <c r="E65" s="18" t="s">
        <v>53</v>
      </c>
      <c r="F65" s="17"/>
      <c r="AMJ65" s="0"/>
    </row>
    <row r="66" customFormat="false" ht="15" hidden="false" customHeight="false" outlineLevel="0" collapsed="false">
      <c r="A66" s="9" t="s">
        <v>150</v>
      </c>
      <c r="B66" s="9" t="s">
        <v>151</v>
      </c>
      <c r="C66" s="15" t="n">
        <f aca="false">48.95/3.53/30</f>
        <v>0.462228517469311</v>
      </c>
      <c r="D66" s="16"/>
      <c r="E66" s="18" t="s">
        <v>152</v>
      </c>
      <c r="F66" s="17"/>
      <c r="AMJ66" s="0"/>
    </row>
    <row r="67" customFormat="false" ht="15" hidden="false" customHeight="false" outlineLevel="0" collapsed="false">
      <c r="A67" s="9" t="s">
        <v>153</v>
      </c>
      <c r="B67" s="9" t="s">
        <v>154</v>
      </c>
      <c r="C67" s="15" t="n">
        <f aca="false">133/4/30</f>
        <v>1.10833333333333</v>
      </c>
      <c r="D67" s="16"/>
      <c r="E67" s="18" t="s">
        <v>31</v>
      </c>
      <c r="F67" s="17" t="n">
        <v>1</v>
      </c>
      <c r="AMJ67" s="0"/>
    </row>
    <row r="68" customFormat="false" ht="15" hidden="false" customHeight="false" outlineLevel="0" collapsed="false">
      <c r="A68" s="1" t="s">
        <v>155</v>
      </c>
      <c r="B68" s="1" t="s">
        <v>156</v>
      </c>
      <c r="C68" s="19" t="n">
        <f aca="false">18.99/60</f>
        <v>0.3165</v>
      </c>
      <c r="D68" s="16"/>
      <c r="E68" s="1" t="s">
        <v>28</v>
      </c>
      <c r="F68" s="17"/>
      <c r="AMJ68" s="0"/>
    </row>
    <row r="69" customFormat="false" ht="15" hidden="false" customHeight="false" outlineLevel="0" collapsed="false">
      <c r="A69" s="1" t="s">
        <v>157</v>
      </c>
      <c r="B69" s="1" t="s">
        <v>158</v>
      </c>
      <c r="C69" s="19" t="n">
        <f aca="false">40/150</f>
        <v>0.266666666666667</v>
      </c>
      <c r="D69" s="0"/>
      <c r="E69" s="1" t="s">
        <v>159</v>
      </c>
      <c r="F69" s="17"/>
      <c r="AMJ69" s="0"/>
    </row>
    <row r="70" customFormat="false" ht="15" hidden="false" customHeight="false" outlineLevel="0" collapsed="false">
      <c r="A70" s="9" t="s">
        <v>160</v>
      </c>
      <c r="B70" s="9" t="s">
        <v>161</v>
      </c>
      <c r="C70" s="15" t="n">
        <f aca="false">548/33.5/30</f>
        <v>0.545273631840796</v>
      </c>
      <c r="D70" s="16"/>
      <c r="E70" s="18" t="s">
        <v>86</v>
      </c>
      <c r="F70" s="17" t="n">
        <v>1</v>
      </c>
      <c r="AMJ70" s="0"/>
    </row>
    <row r="71" customFormat="false" ht="15" hidden="false" customHeight="false" outlineLevel="0" collapsed="false">
      <c r="A71" s="22" t="s">
        <v>162</v>
      </c>
      <c r="B71" s="22" t="s">
        <v>163</v>
      </c>
      <c r="C71" s="23" t="n">
        <f aca="false">10.75/15/30</f>
        <v>0.0238888888888889</v>
      </c>
      <c r="D71" s="22"/>
      <c r="E71" s="22" t="s">
        <v>95</v>
      </c>
      <c r="F71" s="0"/>
      <c r="AMJ71" s="0"/>
    </row>
    <row r="72" customFormat="false" ht="15" hidden="false" customHeight="false" outlineLevel="0" collapsed="false">
      <c r="A72" s="1" t="s">
        <v>164</v>
      </c>
      <c r="B72" s="1" t="s">
        <v>165</v>
      </c>
      <c r="C72" s="19" t="n">
        <f aca="false">10.75/16/30</f>
        <v>0.0223958333333333</v>
      </c>
      <c r="D72" s="16"/>
      <c r="E72" s="1" t="s">
        <v>152</v>
      </c>
      <c r="F72" s="17" t="n">
        <v>1</v>
      </c>
      <c r="AMJ72" s="0"/>
    </row>
    <row r="73" customFormat="false" ht="15" hidden="false" customHeight="false" outlineLevel="0" collapsed="false">
      <c r="A73" s="25" t="s">
        <v>166</v>
      </c>
      <c r="B73" s="25" t="s">
        <v>167</v>
      </c>
      <c r="C73" s="23" t="n">
        <f aca="false">35.8/500</f>
        <v>0.0716</v>
      </c>
      <c r="D73" s="25"/>
      <c r="E73" s="25" t="s">
        <v>7</v>
      </c>
      <c r="F73" s="0"/>
      <c r="AMJ73" s="0"/>
    </row>
    <row r="74" customFormat="false" ht="15" hidden="false" customHeight="false" outlineLevel="0" collapsed="false">
      <c r="A74" s="9" t="s">
        <v>168</v>
      </c>
      <c r="B74" s="9" t="s">
        <v>169</v>
      </c>
      <c r="C74" s="15" t="n">
        <f aca="false">90.33/1500</f>
        <v>0.06022</v>
      </c>
      <c r="D74" s="16"/>
      <c r="E74" s="18" t="s">
        <v>79</v>
      </c>
      <c r="F74" s="17" t="n">
        <v>1</v>
      </c>
      <c r="AMJ74" s="0"/>
    </row>
    <row r="75" customFormat="false" ht="15" hidden="false" customHeight="false" outlineLevel="0" collapsed="false">
      <c r="A75" s="9" t="s">
        <v>170</v>
      </c>
      <c r="B75" s="9" t="s">
        <v>171</v>
      </c>
      <c r="C75" s="15" t="n">
        <f aca="false">35/3785.41</f>
        <v>0.00924602619002961</v>
      </c>
      <c r="D75" s="16"/>
      <c r="E75" s="18" t="s">
        <v>76</v>
      </c>
      <c r="F75" s="17" t="n">
        <v>1</v>
      </c>
      <c r="AMJ75" s="0"/>
    </row>
    <row r="76" customFormat="false" ht="15" hidden="false" customHeight="false" outlineLevel="0" collapsed="false">
      <c r="A76" s="22" t="s">
        <v>172</v>
      </c>
      <c r="B76" s="22" t="s">
        <v>173</v>
      </c>
      <c r="C76" s="23" t="n">
        <f aca="false">8.95/30</f>
        <v>0.298333333333333</v>
      </c>
      <c r="D76" s="22"/>
      <c r="E76" s="22" t="s">
        <v>95</v>
      </c>
      <c r="F76" s="0"/>
      <c r="AMJ76" s="0"/>
    </row>
    <row r="77" customFormat="false" ht="15" hidden="false" customHeight="false" outlineLevel="0" collapsed="false">
      <c r="A77" s="9" t="s">
        <v>174</v>
      </c>
      <c r="B77" s="9" t="s">
        <v>175</v>
      </c>
      <c r="C77" s="15" t="n">
        <f aca="false">149/3785.41</f>
        <v>0.0393616543518404</v>
      </c>
      <c r="D77" s="16"/>
      <c r="E77" s="18" t="s">
        <v>31</v>
      </c>
      <c r="F77" s="17" t="n">
        <v>1</v>
      </c>
      <c r="AMJ77" s="0"/>
    </row>
    <row r="78" customFormat="false" ht="15" hidden="false" customHeight="false" outlineLevel="0" collapsed="false">
      <c r="A78" s="9" t="s">
        <v>176</v>
      </c>
      <c r="B78" s="9" t="s">
        <v>177</v>
      </c>
      <c r="C78" s="15" t="n">
        <f aca="false">221/8/30</f>
        <v>0.920833333333333</v>
      </c>
      <c r="D78" s="16"/>
      <c r="E78" s="18" t="s">
        <v>86</v>
      </c>
      <c r="F78" s="17"/>
      <c r="AMJ78" s="0"/>
    </row>
    <row r="79" customFormat="false" ht="15" hidden="false" customHeight="false" outlineLevel="0" collapsed="false">
      <c r="A79" s="9" t="s">
        <v>178</v>
      </c>
      <c r="B79" s="9" t="s">
        <v>179</v>
      </c>
      <c r="C79" s="15" t="n">
        <f aca="false">0.56/2000</f>
        <v>0.00028</v>
      </c>
      <c r="D79" s="16"/>
      <c r="E79" s="18" t="s">
        <v>180</v>
      </c>
      <c r="F79" s="17"/>
      <c r="AMJ79" s="0"/>
    </row>
    <row r="80" customFormat="false" ht="15" hidden="false" customHeight="false" outlineLevel="0" collapsed="false">
      <c r="A80" s="26" t="s">
        <v>181</v>
      </c>
      <c r="B80" s="26" t="s">
        <v>182</v>
      </c>
      <c r="C80" s="27" t="n">
        <f aca="false">87.35/33.6/30</f>
        <v>0.086656746031746</v>
      </c>
      <c r="D80" s="28"/>
      <c r="E80" s="29" t="s">
        <v>15</v>
      </c>
      <c r="F80" s="17"/>
      <c r="AMJ80" s="0"/>
    </row>
    <row r="81" customFormat="false" ht="15" hidden="false" customHeight="false" outlineLevel="0" collapsed="false">
      <c r="A81" s="9" t="s">
        <v>183</v>
      </c>
      <c r="B81" s="9" t="s">
        <v>184</v>
      </c>
      <c r="C81" s="15" t="n">
        <f aca="false">572/4/30</f>
        <v>4.76666666666667</v>
      </c>
      <c r="D81" s="16"/>
      <c r="E81" s="18" t="s">
        <v>86</v>
      </c>
      <c r="F81" s="17"/>
      <c r="AMJ81" s="0"/>
    </row>
    <row r="82" customFormat="false" ht="15" hidden="false" customHeight="false" outlineLevel="0" collapsed="false">
      <c r="A82" s="9" t="s">
        <v>185</v>
      </c>
      <c r="B82" s="9" t="s">
        <v>186</v>
      </c>
      <c r="C82" s="15" t="n">
        <f aca="false">109.19/3785.41</f>
        <v>0.0288449599911238</v>
      </c>
      <c r="D82" s="16"/>
      <c r="E82" s="18"/>
      <c r="F82" s="17"/>
      <c r="AMJ82" s="0"/>
    </row>
    <row r="83" customFormat="false" ht="15" hidden="false" customHeight="false" outlineLevel="0" collapsed="false">
      <c r="A83" s="1" t="s">
        <v>187</v>
      </c>
      <c r="B83" s="1" t="s">
        <v>188</v>
      </c>
      <c r="C83" s="19" t="n">
        <f aca="false">70/8/30</f>
        <v>0.291666666666667</v>
      </c>
      <c r="D83" s="16"/>
      <c r="E83" s="1" t="s">
        <v>152</v>
      </c>
      <c r="F83" s="17"/>
      <c r="AMJ83" s="0"/>
    </row>
    <row r="84" customFormat="false" ht="15" hidden="false" customHeight="false" outlineLevel="0" collapsed="false">
      <c r="A84" s="1" t="s">
        <v>189</v>
      </c>
      <c r="B84" s="1" t="s">
        <v>190</v>
      </c>
      <c r="C84" s="19" t="n">
        <f aca="false">45/4/30</f>
        <v>0.375</v>
      </c>
      <c r="D84" s="16"/>
      <c r="E84" s="1" t="s">
        <v>95</v>
      </c>
      <c r="F84" s="17"/>
      <c r="AMJ84" s="0"/>
    </row>
    <row r="85" customFormat="false" ht="15" hidden="false" customHeight="false" outlineLevel="0" collapsed="false">
      <c r="A85" s="22" t="s">
        <v>191</v>
      </c>
      <c r="B85" s="22" t="s">
        <v>192</v>
      </c>
      <c r="C85" s="23" t="n">
        <f aca="false">524.95/500</f>
        <v>1.0499</v>
      </c>
      <c r="D85" s="22"/>
      <c r="E85" s="22" t="s">
        <v>152</v>
      </c>
      <c r="F85" s="0"/>
      <c r="AMJ85" s="0"/>
    </row>
    <row r="86" customFormat="false" ht="15" hidden="false" customHeight="false" outlineLevel="0" collapsed="false">
      <c r="A86" s="22" t="s">
        <v>191</v>
      </c>
      <c r="B86" s="22" t="s">
        <v>193</v>
      </c>
      <c r="C86" s="23" t="n">
        <f aca="false">295/100</f>
        <v>2.95</v>
      </c>
      <c r="D86" s="22"/>
      <c r="E86" s="22" t="s">
        <v>95</v>
      </c>
      <c r="F86" s="0"/>
      <c r="AMJ86" s="0"/>
    </row>
    <row r="87" customFormat="false" ht="15" hidden="false" customHeight="false" outlineLevel="0" collapsed="false">
      <c r="A87" s="1" t="s">
        <v>194</v>
      </c>
      <c r="B87" s="1" t="s">
        <v>195</v>
      </c>
      <c r="C87" s="19" t="n">
        <f aca="false">43.75/25</f>
        <v>1.75</v>
      </c>
      <c r="D87" s="16"/>
      <c r="E87" s="1" t="s">
        <v>152</v>
      </c>
      <c r="F87" s="17"/>
      <c r="AMJ87" s="0"/>
    </row>
    <row r="88" customFormat="false" ht="15" hidden="false" customHeight="false" outlineLevel="0" collapsed="false">
      <c r="A88" s="9" t="s">
        <v>196</v>
      </c>
      <c r="B88" s="9" t="s">
        <v>197</v>
      </c>
      <c r="C88" s="15" t="n">
        <f aca="false">85/60</f>
        <v>1.41666666666667</v>
      </c>
      <c r="D88" s="16"/>
      <c r="E88" s="18" t="s">
        <v>7</v>
      </c>
      <c r="F88" s="17" t="n">
        <v>1</v>
      </c>
      <c r="AMJ88" s="0"/>
    </row>
    <row r="89" customFormat="false" ht="15" hidden="false" customHeight="false" outlineLevel="0" collapsed="false">
      <c r="A89" s="1" t="s">
        <v>198</v>
      </c>
      <c r="B89" s="30" t="s">
        <v>199</v>
      </c>
      <c r="C89" s="19" t="n">
        <f aca="false">21/16/30</f>
        <v>0.04375</v>
      </c>
      <c r="D89" s="16"/>
      <c r="E89" s="1" t="s">
        <v>31</v>
      </c>
      <c r="F89" s="16"/>
      <c r="AMJ89" s="0"/>
    </row>
    <row r="90" customFormat="false" ht="15" hidden="false" customHeight="false" outlineLevel="0" collapsed="false">
      <c r="A90" s="9" t="s">
        <v>200</v>
      </c>
      <c r="B90" s="9" t="s">
        <v>201</v>
      </c>
      <c r="C90" s="15" t="n">
        <f aca="false">37.3/10.6/30</f>
        <v>0.117295597484277</v>
      </c>
      <c r="D90" s="16"/>
      <c r="E90" s="18" t="s">
        <v>7</v>
      </c>
      <c r="F90" s="17"/>
      <c r="AMJ90" s="0"/>
    </row>
    <row r="91" customFormat="false" ht="15" hidden="false" customHeight="false" outlineLevel="0" collapsed="false">
      <c r="A91" s="1" t="s">
        <v>202</v>
      </c>
      <c r="B91" s="1" t="s">
        <v>203</v>
      </c>
      <c r="C91" s="19" t="n">
        <f aca="false">6.79/90</f>
        <v>0.0754444444444444</v>
      </c>
      <c r="D91" s="1" t="s">
        <v>204</v>
      </c>
      <c r="E91" s="1" t="s">
        <v>28</v>
      </c>
      <c r="F91" s="16"/>
      <c r="AMJ91" s="0"/>
    </row>
    <row r="92" customFormat="false" ht="15" hidden="false" customHeight="false" outlineLevel="0" collapsed="false">
      <c r="A92" s="9" t="s">
        <v>205</v>
      </c>
      <c r="B92" s="9" t="s">
        <v>206</v>
      </c>
      <c r="C92" s="15" t="n">
        <f aca="false">37/16/30</f>
        <v>0.0770833333333333</v>
      </c>
      <c r="D92" s="16"/>
      <c r="E92" s="18"/>
      <c r="F92" s="17" t="n">
        <v>1</v>
      </c>
      <c r="AMJ92" s="0"/>
    </row>
    <row r="93" customFormat="false" ht="15" hidden="false" customHeight="false" outlineLevel="0" collapsed="false">
      <c r="A93" s="9" t="s">
        <v>207</v>
      </c>
      <c r="B93" s="9" t="s">
        <v>208</v>
      </c>
      <c r="C93" s="15" t="n">
        <f aca="false">45/2/30</f>
        <v>0.75</v>
      </c>
      <c r="D93" s="16"/>
      <c r="E93" s="18" t="s">
        <v>86</v>
      </c>
      <c r="F93" s="17"/>
      <c r="AMJ93" s="0"/>
    </row>
    <row r="94" customFormat="false" ht="15" hidden="false" customHeight="false" outlineLevel="0" collapsed="false">
      <c r="A94" s="9" t="s">
        <v>209</v>
      </c>
      <c r="B94" s="9" t="s">
        <v>210</v>
      </c>
      <c r="C94" s="15" t="n">
        <f aca="false">125/3785.41</f>
        <v>0.0330215221072486</v>
      </c>
      <c r="D94" s="16"/>
      <c r="E94" s="18" t="s">
        <v>211</v>
      </c>
      <c r="F94" s="17"/>
      <c r="AMJ94" s="0"/>
    </row>
    <row r="95" customFormat="false" ht="15" hidden="false" customHeight="false" outlineLevel="0" collapsed="false">
      <c r="A95" s="1" t="s">
        <v>212</v>
      </c>
      <c r="B95" s="1" t="s">
        <v>213</v>
      </c>
      <c r="C95" s="19" t="n">
        <f aca="false">24.5/60</f>
        <v>0.408333333333333</v>
      </c>
      <c r="D95" s="16"/>
      <c r="E95" s="1" t="s">
        <v>15</v>
      </c>
      <c r="F95" s="17"/>
      <c r="AMJ95" s="0"/>
    </row>
    <row r="96" customFormat="false" ht="15" hidden="false" customHeight="false" outlineLevel="0" collapsed="false">
      <c r="A96" s="9" t="s">
        <v>214</v>
      </c>
      <c r="B96" s="9" t="s">
        <v>215</v>
      </c>
      <c r="C96" s="15" t="n">
        <f aca="false">43.95/7/16/30</f>
        <v>0.0130803571428571</v>
      </c>
      <c r="D96" s="16"/>
      <c r="E96" s="18"/>
      <c r="F96" s="17"/>
      <c r="AMJ96" s="0"/>
    </row>
    <row r="97" customFormat="false" ht="15" hidden="false" customHeight="false" outlineLevel="0" collapsed="false">
      <c r="A97" s="9" t="s">
        <v>216</v>
      </c>
      <c r="B97" s="9" t="s">
        <v>217</v>
      </c>
      <c r="C97" s="15" t="n">
        <f aca="false">331.52/32/30</f>
        <v>0.345333333333333</v>
      </c>
      <c r="D97" s="16"/>
      <c r="E97" s="18" t="s">
        <v>10</v>
      </c>
      <c r="F97" s="17"/>
      <c r="AMJ97" s="0"/>
    </row>
    <row r="98" customFormat="false" ht="15" hidden="false" customHeight="false" outlineLevel="0" collapsed="false">
      <c r="A98" s="22" t="s">
        <v>218</v>
      </c>
      <c r="B98" s="22" t="s">
        <v>219</v>
      </c>
      <c r="C98" s="23" t="n">
        <f aca="false">149/250</f>
        <v>0.596</v>
      </c>
      <c r="D98" s="22"/>
      <c r="E98" s="22" t="s">
        <v>7</v>
      </c>
      <c r="F98" s="0"/>
      <c r="AMJ98" s="0"/>
    </row>
    <row r="99" customFormat="false" ht="15" hidden="false" customHeight="false" outlineLevel="0" collapsed="false">
      <c r="A99" s="22" t="s">
        <v>220</v>
      </c>
      <c r="B99" s="22" t="s">
        <v>221</v>
      </c>
      <c r="C99" s="23" t="n">
        <f aca="false">149/25</f>
        <v>5.96</v>
      </c>
      <c r="D99" s="22"/>
      <c r="E99" s="22" t="s">
        <v>7</v>
      </c>
      <c r="F99" s="0"/>
      <c r="AMJ99" s="0"/>
    </row>
    <row r="100" customFormat="false" ht="15" hidden="false" customHeight="false" outlineLevel="0" collapsed="false">
      <c r="A100" s="9" t="s">
        <v>222</v>
      </c>
      <c r="B100" s="9" t="s">
        <v>223</v>
      </c>
      <c r="C100" s="15" t="n">
        <f aca="false">10/30</f>
        <v>0.333333333333333</v>
      </c>
      <c r="D100" s="16"/>
      <c r="E100" s="18" t="s">
        <v>224</v>
      </c>
      <c r="F100" s="17"/>
      <c r="AMJ100" s="0"/>
    </row>
    <row r="101" customFormat="false" ht="15" hidden="false" customHeight="false" outlineLevel="0" collapsed="false">
      <c r="A101" s="9" t="s">
        <v>225</v>
      </c>
      <c r="B101" s="9" t="s">
        <v>226</v>
      </c>
      <c r="C101" s="15" t="n">
        <f aca="false">306.45/9/16/30</f>
        <v>0.0709375</v>
      </c>
      <c r="D101" s="16"/>
      <c r="E101" s="18"/>
      <c r="F101" s="17"/>
      <c r="AMJ101" s="0"/>
    </row>
    <row r="102" customFormat="false" ht="15" hidden="false" customHeight="false" outlineLevel="0" collapsed="false">
      <c r="A102" s="9" t="s">
        <v>227</v>
      </c>
      <c r="B102" s="9" t="s">
        <v>78</v>
      </c>
      <c r="C102" s="15" t="n">
        <f aca="false">43.75/50</f>
        <v>0.875</v>
      </c>
      <c r="D102" s="16"/>
      <c r="E102" s="18" t="s">
        <v>79</v>
      </c>
      <c r="F102" s="17" t="n">
        <v>1</v>
      </c>
      <c r="AMJ102" s="0"/>
    </row>
    <row r="103" customFormat="false" ht="15" hidden="false" customHeight="false" outlineLevel="0" collapsed="false">
      <c r="A103" s="26" t="s">
        <v>228</v>
      </c>
      <c r="B103" s="26" t="s">
        <v>229</v>
      </c>
      <c r="C103" s="27" t="n">
        <f aca="false">88.75/9/16/30</f>
        <v>0.0205439814814815</v>
      </c>
      <c r="D103" s="28"/>
      <c r="E103" s="29" t="s">
        <v>152</v>
      </c>
      <c r="F103" s="31" t="n">
        <v>1</v>
      </c>
      <c r="AMJ103" s="0"/>
    </row>
    <row r="104" customFormat="false" ht="15" hidden="false" customHeight="false" outlineLevel="0" collapsed="false">
      <c r="A104" s="1" t="s">
        <v>230</v>
      </c>
      <c r="B104" s="1" t="s">
        <v>231</v>
      </c>
      <c r="C104" s="19" t="n">
        <f aca="false">111.9/250</f>
        <v>0.4476</v>
      </c>
      <c r="D104" s="16"/>
      <c r="E104" s="1" t="s">
        <v>15</v>
      </c>
      <c r="F104" s="17" t="n">
        <v>1</v>
      </c>
      <c r="AMJ104" s="0"/>
    </row>
    <row r="105" customFormat="false" ht="15" hidden="false" customHeight="false" outlineLevel="0" collapsed="false">
      <c r="A105" s="9" t="s">
        <v>232</v>
      </c>
      <c r="B105" s="9" t="s">
        <v>233</v>
      </c>
      <c r="C105" s="15" t="n">
        <f aca="false">15.8/10</f>
        <v>1.58</v>
      </c>
      <c r="D105" s="16"/>
      <c r="E105" s="18"/>
      <c r="F105" s="17" t="n">
        <v>1</v>
      </c>
      <c r="AMJ105" s="0"/>
    </row>
    <row r="106" customFormat="false" ht="15" hidden="false" customHeight="false" outlineLevel="0" collapsed="false">
      <c r="A106" s="9" t="s">
        <v>234</v>
      </c>
      <c r="B106" s="9" t="s">
        <v>235</v>
      </c>
      <c r="C106" s="15" t="n">
        <f aca="false">19.63/7/16/30</f>
        <v>0.00584226190476191</v>
      </c>
      <c r="D106" s="16"/>
      <c r="E106" s="18" t="s">
        <v>53</v>
      </c>
      <c r="F106" s="17"/>
      <c r="AMJ106" s="0"/>
    </row>
    <row r="107" customFormat="false" ht="15" hidden="false" customHeight="false" outlineLevel="0" collapsed="false">
      <c r="A107" s="9" t="s">
        <v>236</v>
      </c>
      <c r="B107" s="9" t="s">
        <v>237</v>
      </c>
      <c r="C107" s="15" t="n">
        <f aca="false">150.22/33.3/30</f>
        <v>0.15037037037037</v>
      </c>
      <c r="D107" s="16"/>
      <c r="E107" s="18" t="s">
        <v>238</v>
      </c>
      <c r="F107" s="17"/>
      <c r="AMJ107" s="0"/>
    </row>
    <row r="108" customFormat="false" ht="15" hidden="false" customHeight="false" outlineLevel="0" collapsed="false">
      <c r="A108" s="9" t="s">
        <v>239</v>
      </c>
      <c r="B108" s="9" t="s">
        <v>240</v>
      </c>
      <c r="C108" s="15" t="n">
        <f aca="false">25.5/16/30</f>
        <v>0.053125</v>
      </c>
      <c r="D108" s="16"/>
      <c r="E108" s="18" t="s">
        <v>31</v>
      </c>
      <c r="F108" s="17"/>
      <c r="AMJ108" s="0"/>
    </row>
    <row r="109" customFormat="false" ht="15" hidden="false" customHeight="false" outlineLevel="0" collapsed="false">
      <c r="A109" s="9" t="s">
        <v>239</v>
      </c>
      <c r="B109" s="9" t="s">
        <v>240</v>
      </c>
      <c r="C109" s="15" t="n">
        <f aca="false">25.5/16/30</f>
        <v>0.053125</v>
      </c>
      <c r="D109" s="16"/>
      <c r="E109" s="18" t="s">
        <v>31</v>
      </c>
      <c r="F109" s="17" t="n">
        <v>1</v>
      </c>
      <c r="AMJ109" s="0"/>
    </row>
    <row r="110" customFormat="false" ht="15" hidden="false" customHeight="false" outlineLevel="0" collapsed="false">
      <c r="A110" s="9" t="s">
        <v>241</v>
      </c>
      <c r="B110" s="9" t="s">
        <v>242</v>
      </c>
      <c r="C110" s="15" t="n">
        <f aca="false">35.25/4/30</f>
        <v>0.29375</v>
      </c>
      <c r="D110" s="16"/>
      <c r="E110" s="18" t="s">
        <v>31</v>
      </c>
      <c r="F110" s="17"/>
      <c r="AMJ110" s="0"/>
    </row>
    <row r="111" customFormat="false" ht="15" hidden="false" customHeight="false" outlineLevel="0" collapsed="false">
      <c r="A111" s="22" t="s">
        <v>243</v>
      </c>
      <c r="B111" s="22" t="s">
        <v>244</v>
      </c>
      <c r="C111" s="23" t="n">
        <f aca="false">30.8/4/30</f>
        <v>0.256666666666667</v>
      </c>
      <c r="D111" s="22"/>
      <c r="E111" s="22" t="s">
        <v>95</v>
      </c>
      <c r="F111" s="0"/>
      <c r="AMJ111" s="0"/>
    </row>
    <row r="112" customFormat="false" ht="15" hidden="false" customHeight="false" outlineLevel="0" collapsed="false">
      <c r="A112" s="1" t="s">
        <v>245</v>
      </c>
      <c r="B112" s="1" t="s">
        <v>246</v>
      </c>
      <c r="C112" s="19" t="n">
        <f aca="false">21/100</f>
        <v>0.21</v>
      </c>
      <c r="D112" s="16"/>
      <c r="E112" s="1" t="s">
        <v>39</v>
      </c>
      <c r="F112" s="17"/>
      <c r="AMJ112" s="0"/>
    </row>
    <row r="113" customFormat="false" ht="15" hidden="false" customHeight="false" outlineLevel="0" collapsed="false">
      <c r="A113" s="9" t="s">
        <v>247</v>
      </c>
      <c r="B113" s="9" t="s">
        <v>248</v>
      </c>
      <c r="C113" s="15" t="n">
        <f aca="false">215.95/8/16/30</f>
        <v>0.0562369791666667</v>
      </c>
      <c r="D113" s="16"/>
      <c r="E113" s="18" t="s">
        <v>152</v>
      </c>
      <c r="F113" s="3" t="n">
        <v>1</v>
      </c>
      <c r="AMJ113" s="0"/>
    </row>
    <row r="114" customFormat="false" ht="15" hidden="false" customHeight="false" outlineLevel="0" collapsed="false">
      <c r="A114" s="9" t="s">
        <v>249</v>
      </c>
      <c r="B114" s="9" t="s">
        <v>250</v>
      </c>
      <c r="C114" s="15" t="n">
        <f aca="false">30.5/4/30</f>
        <v>0.254166666666667</v>
      </c>
      <c r="D114" s="16"/>
      <c r="E114" s="18" t="s">
        <v>31</v>
      </c>
      <c r="F114" s="17" t="n">
        <v>1</v>
      </c>
      <c r="AMJ114" s="0"/>
    </row>
    <row r="115" customFormat="false" ht="15" hidden="false" customHeight="false" outlineLevel="0" collapsed="false">
      <c r="A115" s="1" t="s">
        <v>251</v>
      </c>
      <c r="B115" s="21" t="s">
        <v>252</v>
      </c>
      <c r="C115" s="20" t="n">
        <f aca="false">9/30</f>
        <v>0.3</v>
      </c>
      <c r="D115" s="0"/>
      <c r="E115" s="1" t="s">
        <v>253</v>
      </c>
      <c r="F115" s="16"/>
      <c r="AMJ115" s="0"/>
    </row>
    <row r="116" customFormat="false" ht="15" hidden="false" customHeight="false" outlineLevel="0" collapsed="false">
      <c r="A116" s="9" t="s">
        <v>254</v>
      </c>
      <c r="B116" s="9" t="s">
        <v>255</v>
      </c>
      <c r="C116" s="15" t="n">
        <f aca="false">14.95/30</f>
        <v>0.498333333333333</v>
      </c>
      <c r="D116" s="16"/>
      <c r="E116" s="18"/>
      <c r="F116" s="17"/>
      <c r="AMJ116" s="0"/>
    </row>
    <row r="117" customFormat="false" ht="15" hidden="false" customHeight="false" outlineLevel="0" collapsed="false">
      <c r="A117" s="9" t="s">
        <v>256</v>
      </c>
      <c r="B117" s="18" t="s">
        <v>257</v>
      </c>
      <c r="C117" s="15" t="n">
        <f aca="false">46.2/17.5/30</f>
        <v>0.088</v>
      </c>
      <c r="D117" s="16"/>
      <c r="E117" s="18"/>
      <c r="F117" s="17"/>
      <c r="AMJ117" s="0"/>
    </row>
    <row r="118" customFormat="false" ht="15" hidden="false" customHeight="false" outlineLevel="0" collapsed="false">
      <c r="A118" s="1" t="s">
        <v>258</v>
      </c>
      <c r="B118" s="1" t="s">
        <v>259</v>
      </c>
      <c r="C118" s="19" t="n">
        <f aca="false">12.8/60</f>
        <v>0.213333333333333</v>
      </c>
      <c r="D118" s="16"/>
      <c r="E118" s="1" t="s">
        <v>15</v>
      </c>
      <c r="F118" s="17"/>
      <c r="AMJ118" s="0"/>
    </row>
    <row r="119" customFormat="false" ht="15" hidden="false" customHeight="false" outlineLevel="0" collapsed="false">
      <c r="A119" s="9" t="s">
        <v>260</v>
      </c>
      <c r="B119" s="9" t="s">
        <v>261</v>
      </c>
      <c r="C119" s="15" t="n">
        <f aca="false">18.5/16/30</f>
        <v>0.0385416666666667</v>
      </c>
      <c r="D119" s="16"/>
      <c r="E119" s="18" t="s">
        <v>31</v>
      </c>
      <c r="F119" s="17" t="n">
        <v>1</v>
      </c>
      <c r="AMJ119" s="0"/>
    </row>
    <row r="120" customFormat="false" ht="15" hidden="false" customHeight="false" outlineLevel="0" collapsed="false">
      <c r="A120" s="9" t="s">
        <v>262</v>
      </c>
      <c r="B120" s="9" t="s">
        <v>263</v>
      </c>
      <c r="C120" s="15" t="n">
        <f aca="false">162.95/3.5/16/30</f>
        <v>0.0969940476190476</v>
      </c>
      <c r="D120" s="16"/>
      <c r="E120" s="18" t="s">
        <v>53</v>
      </c>
      <c r="F120" s="17"/>
      <c r="AMJ120" s="0"/>
    </row>
    <row r="121" customFormat="false" ht="15" hidden="false" customHeight="false" outlineLevel="0" collapsed="false">
      <c r="A121" s="9" t="s">
        <v>264</v>
      </c>
      <c r="B121" s="9" t="s">
        <v>265</v>
      </c>
      <c r="C121" s="15" t="n">
        <f aca="false">89.75/128/30</f>
        <v>0.0233723958333333</v>
      </c>
      <c r="D121" s="16"/>
      <c r="E121" s="18" t="s">
        <v>53</v>
      </c>
      <c r="F121" s="17"/>
      <c r="AMJ121" s="0"/>
    </row>
    <row r="122" customFormat="false" ht="15" hidden="false" customHeight="false" outlineLevel="0" collapsed="false">
      <c r="A122" s="21" t="s">
        <v>266</v>
      </c>
      <c r="B122" s="32" t="s">
        <v>267</v>
      </c>
      <c r="C122" s="33" t="n">
        <f aca="false">176 / 5000</f>
        <v>0.0352</v>
      </c>
      <c r="D122" s="32"/>
      <c r="E122" s="18" t="s">
        <v>7</v>
      </c>
      <c r="F122" s="16"/>
      <c r="AMJ122" s="0"/>
    </row>
    <row r="123" customFormat="false" ht="15" hidden="false" customHeight="false" outlineLevel="0" collapsed="false">
      <c r="A123" s="9" t="s">
        <v>268</v>
      </c>
      <c r="B123" s="9" t="s">
        <v>269</v>
      </c>
      <c r="C123" s="15" t="n">
        <f aca="false">10.89/30</f>
        <v>0.363</v>
      </c>
      <c r="D123" s="16"/>
      <c r="E123" s="18"/>
      <c r="F123" s="17"/>
      <c r="AMJ123" s="0"/>
    </row>
    <row r="124" customFormat="false" ht="15" hidden="false" customHeight="false" outlineLevel="0" collapsed="false">
      <c r="A124" s="21" t="s">
        <v>270</v>
      </c>
      <c r="B124" s="16" t="s">
        <v>271</v>
      </c>
      <c r="C124" s="20" t="n">
        <f aca="false">6.49/24/30</f>
        <v>0.00901388888888889</v>
      </c>
      <c r="D124" s="16"/>
      <c r="E124" s="16" t="s">
        <v>31</v>
      </c>
      <c r="F124" s="16"/>
      <c r="AMJ124" s="0"/>
    </row>
    <row r="125" customFormat="false" ht="15" hidden="false" customHeight="false" outlineLevel="0" collapsed="false">
      <c r="A125" s="1" t="s">
        <v>272</v>
      </c>
      <c r="B125" s="1" t="s">
        <v>273</v>
      </c>
      <c r="C125" s="19" t="n">
        <f aca="false">16.6/500</f>
        <v>0.0332</v>
      </c>
      <c r="D125" s="16"/>
      <c r="E125" s="16"/>
      <c r="F125" s="17"/>
      <c r="AMJ125" s="0"/>
    </row>
    <row r="126" customFormat="false" ht="15" hidden="false" customHeight="false" outlineLevel="0" collapsed="false">
      <c r="A126" s="1" t="s">
        <v>274</v>
      </c>
      <c r="B126" s="1" t="s">
        <v>275</v>
      </c>
      <c r="C126" s="19" t="n">
        <f aca="false">95/3785.41</f>
        <v>0.025096356801509</v>
      </c>
      <c r="D126" s="16"/>
      <c r="E126" s="1" t="s">
        <v>31</v>
      </c>
      <c r="F126" s="16"/>
      <c r="AMJ126" s="0"/>
    </row>
    <row r="127" customFormat="false" ht="15" hidden="false" customHeight="false" outlineLevel="0" collapsed="false">
      <c r="A127" s="9" t="s">
        <v>276</v>
      </c>
      <c r="B127" s="9" t="s">
        <v>277</v>
      </c>
      <c r="C127" s="15" t="n">
        <f aca="false">436/4/30</f>
        <v>3.63333333333333</v>
      </c>
      <c r="D127" s="16"/>
      <c r="E127" s="18" t="s">
        <v>86</v>
      </c>
      <c r="F127" s="17"/>
      <c r="AMJ127" s="0"/>
    </row>
    <row r="128" customFormat="false" ht="15" hidden="false" customHeight="false" outlineLevel="0" collapsed="false">
      <c r="A128" s="9" t="s">
        <v>278</v>
      </c>
      <c r="B128" s="9" t="s">
        <v>279</v>
      </c>
      <c r="C128" s="15" t="n">
        <f aca="false">54.5/3.3/16/30</f>
        <v>0.0344065656565657</v>
      </c>
      <c r="D128" s="16"/>
      <c r="E128" s="18" t="s">
        <v>79</v>
      </c>
      <c r="F128" s="17"/>
      <c r="AMJ128" s="0"/>
    </row>
    <row r="129" customFormat="false" ht="15" hidden="false" customHeight="false" outlineLevel="0" collapsed="false">
      <c r="A129" s="9" t="s">
        <v>280</v>
      </c>
      <c r="B129" s="9" t="s">
        <v>279</v>
      </c>
      <c r="C129" s="15" t="n">
        <f aca="false">54.5/3.3/16/30</f>
        <v>0.0344065656565657</v>
      </c>
      <c r="D129" s="16"/>
      <c r="E129" s="18" t="s">
        <v>79</v>
      </c>
      <c r="F129" s="17"/>
      <c r="AMJ129" s="0"/>
    </row>
    <row r="130" customFormat="false" ht="15" hidden="false" customHeight="false" outlineLevel="0" collapsed="false">
      <c r="A130" s="1" t="s">
        <v>281</v>
      </c>
      <c r="B130" s="16" t="s">
        <v>282</v>
      </c>
      <c r="C130" s="20" t="n">
        <f aca="false">25.73/946</f>
        <v>0.0271987315010571</v>
      </c>
      <c r="D130" s="16"/>
      <c r="E130" s="1" t="s">
        <v>28</v>
      </c>
      <c r="F130" s="16"/>
      <c r="AMJ130" s="0"/>
    </row>
    <row r="131" customFormat="false" ht="15" hidden="false" customHeight="false" outlineLevel="0" collapsed="false">
      <c r="A131" s="9" t="s">
        <v>283</v>
      </c>
      <c r="B131" s="9" t="s">
        <v>284</v>
      </c>
      <c r="C131" s="15" t="n">
        <f aca="false">35.7/3785.41</f>
        <v>0.00943094671383021</v>
      </c>
      <c r="D131" s="16"/>
      <c r="E131" s="18" t="s">
        <v>76</v>
      </c>
      <c r="F131" s="17"/>
      <c r="AMJ131" s="0"/>
    </row>
    <row r="132" customFormat="false" ht="15" hidden="false" customHeight="false" outlineLevel="0" collapsed="false">
      <c r="A132" s="9" t="s">
        <v>285</v>
      </c>
      <c r="B132" s="9" t="s">
        <v>286</v>
      </c>
      <c r="C132" s="15" t="n">
        <f aca="false">53.65/7/16/30</f>
        <v>0.0159672619047619</v>
      </c>
      <c r="D132" s="16"/>
      <c r="E132" s="18" t="s">
        <v>53</v>
      </c>
      <c r="F132" s="17"/>
      <c r="AMJ132" s="0"/>
    </row>
    <row r="133" customFormat="false" ht="15" hidden="false" customHeight="false" outlineLevel="0" collapsed="false">
      <c r="A133" s="9" t="s">
        <v>287</v>
      </c>
      <c r="B133" s="9" t="s">
        <v>288</v>
      </c>
      <c r="C133" s="15" t="n">
        <f aca="false">19.25/4/30</f>
        <v>0.160416666666667</v>
      </c>
      <c r="D133" s="16"/>
      <c r="E133" s="18" t="s">
        <v>31</v>
      </c>
      <c r="F133" s="17"/>
      <c r="AMJ133" s="0"/>
    </row>
    <row r="134" customFormat="false" ht="15" hidden="false" customHeight="false" outlineLevel="0" collapsed="false">
      <c r="A134" s="9" t="s">
        <v>289</v>
      </c>
      <c r="B134" s="9" t="s">
        <v>290</v>
      </c>
      <c r="C134" s="15" t="n">
        <f aca="false">77.85/16/30</f>
        <v>0.1621875</v>
      </c>
      <c r="D134" s="16"/>
      <c r="E134" s="18" t="s">
        <v>291</v>
      </c>
      <c r="F134" s="17"/>
      <c r="AMJ134" s="0"/>
    </row>
    <row r="135" customFormat="false" ht="15" hidden="false" customHeight="false" outlineLevel="0" collapsed="false">
      <c r="A135" s="1" t="s">
        <v>292</v>
      </c>
      <c r="B135" s="1" t="s">
        <v>293</v>
      </c>
      <c r="C135" s="19" t="n">
        <f aca="false">95.5/3.3/16/30</f>
        <v>0.0602904040404041</v>
      </c>
      <c r="D135" s="0"/>
      <c r="E135" s="1" t="s">
        <v>79</v>
      </c>
      <c r="F135" s="16"/>
      <c r="AMJ135" s="0"/>
    </row>
    <row r="136" customFormat="false" ht="15" hidden="false" customHeight="false" outlineLevel="0" collapsed="false">
      <c r="A136" s="9" t="s">
        <v>294</v>
      </c>
      <c r="B136" s="9" t="s">
        <v>295</v>
      </c>
      <c r="C136" s="15" t="n">
        <f aca="false">2/2/30</f>
        <v>0.0333333333333333</v>
      </c>
      <c r="D136" s="16"/>
      <c r="E136" s="18" t="s">
        <v>296</v>
      </c>
      <c r="F136" s="17"/>
      <c r="AMJ136" s="0"/>
    </row>
    <row r="137" customFormat="false" ht="15" hidden="false" customHeight="false" outlineLevel="0" collapsed="false">
      <c r="A137" s="9" t="s">
        <v>297</v>
      </c>
      <c r="B137" s="9" t="s">
        <v>298</v>
      </c>
      <c r="C137" s="15" t="n">
        <f aca="false">46.4/1.4/30</f>
        <v>1.1047619047619</v>
      </c>
      <c r="D137" s="16"/>
      <c r="E137" s="18" t="s">
        <v>7</v>
      </c>
      <c r="F137" s="17"/>
      <c r="AMJ137" s="0"/>
    </row>
    <row r="138" customFormat="false" ht="15" hidden="false" customHeight="false" outlineLevel="0" collapsed="false">
      <c r="A138" s="1" t="s">
        <v>299</v>
      </c>
      <c r="B138" s="1" t="s">
        <v>300</v>
      </c>
      <c r="C138" s="19" t="n">
        <f aca="false">19/30</f>
        <v>0.633333333333333</v>
      </c>
      <c r="D138" s="16"/>
      <c r="E138" s="1" t="s">
        <v>95</v>
      </c>
      <c r="F138" s="17"/>
      <c r="AMJ138" s="0"/>
    </row>
    <row r="139" customFormat="false" ht="15" hidden="false" customHeight="false" outlineLevel="0" collapsed="false">
      <c r="A139" s="9" t="s">
        <v>301</v>
      </c>
      <c r="B139" s="9" t="n">
        <v>23.54</v>
      </c>
      <c r="C139" s="15"/>
      <c r="D139" s="16"/>
      <c r="E139" s="18"/>
      <c r="F139" s="17"/>
      <c r="AMJ139" s="0"/>
    </row>
    <row r="140" customFormat="false" ht="15" hidden="false" customHeight="false" outlineLevel="0" collapsed="false">
      <c r="A140" s="1" t="s">
        <v>302</v>
      </c>
      <c r="B140" s="1" t="s">
        <v>303</v>
      </c>
      <c r="C140" s="19" t="n">
        <f aca="false">8.4/30</f>
        <v>0.28</v>
      </c>
      <c r="D140" s="16"/>
      <c r="E140" s="1" t="s">
        <v>39</v>
      </c>
      <c r="F140" s="17"/>
      <c r="AMJ140" s="0"/>
    </row>
    <row r="141" customFormat="false" ht="15" hidden="false" customHeight="false" outlineLevel="0" collapsed="false">
      <c r="A141" s="9" t="s">
        <v>304</v>
      </c>
      <c r="B141" s="9" t="s">
        <v>305</v>
      </c>
      <c r="C141" s="15" t="n">
        <f aca="false">49.9/128/30</f>
        <v>0.0129947916666667</v>
      </c>
      <c r="D141" s="16"/>
      <c r="E141" s="18" t="s">
        <v>7</v>
      </c>
      <c r="F141" s="17" t="n">
        <v>1</v>
      </c>
      <c r="AMJ141" s="0"/>
    </row>
    <row r="142" customFormat="false" ht="15" hidden="false" customHeight="false" outlineLevel="0" collapsed="false">
      <c r="A142" s="9" t="s">
        <v>306</v>
      </c>
      <c r="B142" s="9" t="s">
        <v>307</v>
      </c>
      <c r="C142" s="15" t="n">
        <f aca="false">86/16/30</f>
        <v>0.179166666666667</v>
      </c>
      <c r="D142" s="16"/>
      <c r="E142" s="18" t="s">
        <v>31</v>
      </c>
      <c r="F142" s="17"/>
      <c r="AMJ142" s="0"/>
    </row>
    <row r="143" customFormat="false" ht="15" hidden="false" customHeight="false" outlineLevel="0" collapsed="false">
      <c r="A143" s="1" t="s">
        <v>308</v>
      </c>
      <c r="B143" s="16" t="s">
        <v>309</v>
      </c>
      <c r="C143" s="20" t="n">
        <f aca="false">6.49/24/30</f>
        <v>0.00901388888888889</v>
      </c>
      <c r="D143" s="16"/>
      <c r="E143" s="1" t="s">
        <v>28</v>
      </c>
      <c r="F143" s="16"/>
      <c r="AMJ143" s="0"/>
    </row>
    <row r="144" customFormat="false" ht="15" hidden="false" customHeight="false" outlineLevel="0" collapsed="false">
      <c r="A144" s="9" t="s">
        <v>310</v>
      </c>
      <c r="B144" s="9" t="s">
        <v>311</v>
      </c>
      <c r="C144" s="15" t="n">
        <f aca="false">66.75/7/16/30</f>
        <v>0.0198660714285714</v>
      </c>
      <c r="D144" s="16"/>
      <c r="E144" s="18" t="s">
        <v>53</v>
      </c>
      <c r="F144" s="17"/>
      <c r="AMJ144" s="0"/>
    </row>
    <row r="145" customFormat="false" ht="15" hidden="false" customHeight="false" outlineLevel="0" collapsed="false">
      <c r="A145" s="9" t="s">
        <v>312</v>
      </c>
      <c r="B145" s="9" t="s">
        <v>313</v>
      </c>
      <c r="C145" s="15" t="n">
        <f aca="false">539.84/16/30</f>
        <v>1.12466666666667</v>
      </c>
      <c r="D145" s="16"/>
      <c r="E145" s="18" t="s">
        <v>10</v>
      </c>
      <c r="F145" s="17" t="n">
        <v>1</v>
      </c>
      <c r="AMJ145" s="0"/>
    </row>
    <row r="146" customFormat="false" ht="15" hidden="false" customHeight="false" outlineLevel="0" collapsed="false">
      <c r="A146" s="22" t="s">
        <v>314</v>
      </c>
      <c r="B146" s="22" t="s">
        <v>315</v>
      </c>
      <c r="C146" s="23" t="n">
        <f aca="false">39.95/5.3/30</f>
        <v>0.25125786163522</v>
      </c>
      <c r="D146" s="22"/>
      <c r="E146" s="22" t="s">
        <v>159</v>
      </c>
      <c r="F146" s="0"/>
      <c r="AMJ146" s="0"/>
    </row>
    <row r="147" customFormat="false" ht="15" hidden="false" customHeight="false" outlineLevel="0" collapsed="false">
      <c r="A147" s="9" t="s">
        <v>316</v>
      </c>
      <c r="B147" s="9" t="s">
        <v>317</v>
      </c>
      <c r="C147" s="15" t="n">
        <f aca="false">41.89/2.4/30</f>
        <v>0.581805555555556</v>
      </c>
      <c r="D147" s="16"/>
      <c r="E147" s="18" t="s">
        <v>180</v>
      </c>
      <c r="F147" s="17"/>
      <c r="AMJ147" s="0"/>
    </row>
    <row r="148" customFormat="false" ht="15" hidden="false" customHeight="false" outlineLevel="0" collapsed="false">
      <c r="A148" s="9" t="s">
        <v>318</v>
      </c>
      <c r="B148" s="9" t="s">
        <v>317</v>
      </c>
      <c r="C148" s="15" t="n">
        <f aca="false">41.89/2.4/30</f>
        <v>0.581805555555556</v>
      </c>
      <c r="D148" s="16"/>
      <c r="E148" s="18" t="s">
        <v>180</v>
      </c>
      <c r="F148" s="17"/>
      <c r="AMJ148" s="0"/>
    </row>
    <row r="149" customFormat="false" ht="15" hidden="false" customHeight="false" outlineLevel="0" collapsed="false">
      <c r="A149" s="9" t="s">
        <v>319</v>
      </c>
      <c r="B149" s="9" t="s">
        <v>320</v>
      </c>
      <c r="C149" s="15" t="n">
        <f aca="false">83.5/33.6/30</f>
        <v>0.0828373015873016</v>
      </c>
      <c r="D149" s="16"/>
      <c r="E149" s="18" t="s">
        <v>7</v>
      </c>
      <c r="F149" s="17"/>
      <c r="AMJ149" s="0"/>
    </row>
    <row r="150" customFormat="false" ht="15" hidden="false" customHeight="false" outlineLevel="0" collapsed="false">
      <c r="A150" s="9" t="s">
        <v>321</v>
      </c>
      <c r="B150" s="9" t="s">
        <v>261</v>
      </c>
      <c r="C150" s="15" t="n">
        <f aca="false">18.5/16/30</f>
        <v>0.0385416666666667</v>
      </c>
      <c r="D150" s="16"/>
      <c r="E150" s="18" t="s">
        <v>31</v>
      </c>
      <c r="F150" s="17" t="n">
        <v>1</v>
      </c>
      <c r="AMJ150" s="0"/>
    </row>
    <row r="151" customFormat="false" ht="15" hidden="false" customHeight="false" outlineLevel="0" collapsed="false">
      <c r="A151" s="9" t="s">
        <v>322</v>
      </c>
      <c r="B151" s="9" t="s">
        <v>323</v>
      </c>
      <c r="C151" s="15" t="n">
        <f aca="false">81.07/32/30</f>
        <v>0.0844479166666667</v>
      </c>
      <c r="D151" s="16"/>
      <c r="E151" s="18" t="s">
        <v>10</v>
      </c>
      <c r="F151" s="17"/>
      <c r="AMJ151" s="0"/>
    </row>
    <row r="152" customFormat="false" ht="15" hidden="false" customHeight="false" outlineLevel="0" collapsed="false">
      <c r="A152" s="9" t="s">
        <v>324</v>
      </c>
      <c r="B152" s="9" t="s">
        <v>325</v>
      </c>
      <c r="C152" s="15" t="s">
        <v>326</v>
      </c>
      <c r="D152" s="16"/>
      <c r="E152" s="18" t="s">
        <v>28</v>
      </c>
      <c r="F152" s="34"/>
      <c r="AMJ152" s="0"/>
    </row>
    <row r="153" customFormat="false" ht="15" hidden="false" customHeight="false" outlineLevel="0" collapsed="false">
      <c r="A153" s="9" t="s">
        <v>327</v>
      </c>
      <c r="B153" s="9" t="s">
        <v>328</v>
      </c>
      <c r="C153" s="15" t="n">
        <f aca="false">564/33.6/30</f>
        <v>0.55952380952381</v>
      </c>
      <c r="D153" s="16"/>
      <c r="E153" s="18" t="s">
        <v>7</v>
      </c>
      <c r="F153" s="17" t="n">
        <v>1</v>
      </c>
      <c r="AMJ153" s="0"/>
    </row>
    <row r="154" customFormat="false" ht="15" hidden="false" customHeight="false" outlineLevel="0" collapsed="false">
      <c r="A154" s="1" t="s">
        <v>329</v>
      </c>
      <c r="B154" s="1" t="s">
        <v>330</v>
      </c>
      <c r="C154" s="19" t="n">
        <f aca="false">13.9/125</f>
        <v>0.1112</v>
      </c>
      <c r="D154" s="16"/>
      <c r="E154" s="1" t="s">
        <v>15</v>
      </c>
      <c r="F154" s="17"/>
      <c r="AMJ154" s="0"/>
    </row>
    <row r="155" customFormat="false" ht="15" hidden="false" customHeight="false" outlineLevel="0" collapsed="false">
      <c r="A155" s="9" t="s">
        <v>331</v>
      </c>
      <c r="B155" s="9" t="s">
        <v>332</v>
      </c>
      <c r="C155" s="15" t="n">
        <f aca="false">47.86/2/16/30</f>
        <v>0.0498541666666667</v>
      </c>
      <c r="D155" s="16"/>
      <c r="E155" s="18"/>
      <c r="F155" s="17" t="n">
        <v>1</v>
      </c>
      <c r="AMJ155" s="0"/>
    </row>
    <row r="156" customFormat="false" ht="15" hidden="false" customHeight="false" outlineLevel="0" collapsed="false">
      <c r="A156" s="9" t="s">
        <v>333</v>
      </c>
      <c r="B156" s="9" t="s">
        <v>334</v>
      </c>
      <c r="C156" s="15" t="n">
        <f aca="false">548/4/30</f>
        <v>4.56666666666667</v>
      </c>
      <c r="D156" s="16"/>
      <c r="E156" s="18" t="s">
        <v>86</v>
      </c>
      <c r="F156" s="17" t="n">
        <v>1</v>
      </c>
      <c r="AMJ156" s="0"/>
    </row>
    <row r="157" customFormat="false" ht="15" hidden="false" customHeight="false" outlineLevel="0" collapsed="false">
      <c r="A157" s="9" t="s">
        <v>335</v>
      </c>
      <c r="B157" s="9" t="s">
        <v>336</v>
      </c>
      <c r="C157" s="15" t="n">
        <f aca="false">545/33.3/30</f>
        <v>0.545545545545546</v>
      </c>
      <c r="D157" s="16"/>
      <c r="E157" s="18" t="s">
        <v>86</v>
      </c>
      <c r="F157" s="17"/>
      <c r="AMJ157" s="0"/>
    </row>
    <row r="158" customFormat="false" ht="15" hidden="false" customHeight="false" outlineLevel="0" collapsed="false">
      <c r="A158" s="9" t="s">
        <v>337</v>
      </c>
      <c r="B158" s="9" t="s">
        <v>338</v>
      </c>
      <c r="C158" s="15" t="n">
        <f aca="false">326/128/30</f>
        <v>0.0848958333333333</v>
      </c>
      <c r="D158" s="16"/>
      <c r="E158" s="18" t="s">
        <v>31</v>
      </c>
      <c r="F158" s="17" t="n">
        <v>1</v>
      </c>
      <c r="AMJ158" s="0"/>
    </row>
    <row r="159" customFormat="false" ht="15" hidden="false" customHeight="false" outlineLevel="0" collapsed="false">
      <c r="A159" s="9" t="s">
        <v>339</v>
      </c>
      <c r="B159" s="9" t="s">
        <v>340</v>
      </c>
      <c r="C159" s="15" t="n">
        <f aca="false">134.5/16/30</f>
        <v>0.280208333333333</v>
      </c>
      <c r="D159" s="16"/>
      <c r="E159" s="18" t="s">
        <v>31</v>
      </c>
      <c r="F159" s="17" t="n">
        <v>1</v>
      </c>
      <c r="AMJ159" s="0"/>
    </row>
    <row r="160" customFormat="false" ht="15" hidden="false" customHeight="false" outlineLevel="0" collapsed="false">
      <c r="A160" s="9" t="s">
        <v>341</v>
      </c>
      <c r="B160" s="9" t="s">
        <v>342</v>
      </c>
      <c r="C160" s="15" t="n">
        <f aca="false">7.55/2/30</f>
        <v>0.125833333333333</v>
      </c>
      <c r="D160" s="16"/>
      <c r="E160" s="18"/>
      <c r="F160" s="17"/>
      <c r="AMJ160" s="0"/>
    </row>
    <row r="161" customFormat="false" ht="15" hidden="false" customHeight="false" outlineLevel="0" collapsed="false">
      <c r="A161" s="1" t="s">
        <v>343</v>
      </c>
      <c r="B161" s="16" t="s">
        <v>344</v>
      </c>
      <c r="C161" s="20" t="n">
        <f aca="false">6.49/24/30</f>
        <v>0.00901388888888889</v>
      </c>
      <c r="D161" s="16"/>
      <c r="E161" s="1" t="s">
        <v>28</v>
      </c>
      <c r="F161" s="16"/>
      <c r="AMJ161" s="0"/>
    </row>
    <row r="162" customFormat="false" ht="15" hidden="false" customHeight="false" outlineLevel="0" collapsed="false">
      <c r="A162" s="9" t="s">
        <v>345</v>
      </c>
      <c r="B162" s="9" t="s">
        <v>346</v>
      </c>
      <c r="C162" s="15" t="n">
        <f aca="false">27/128/30</f>
        <v>0.00703125</v>
      </c>
      <c r="D162" s="16"/>
      <c r="E162" s="18" t="s">
        <v>76</v>
      </c>
      <c r="F162" s="17"/>
      <c r="AMJ162" s="0"/>
    </row>
    <row r="163" customFormat="false" ht="15" hidden="false" customHeight="false" outlineLevel="0" collapsed="false">
      <c r="A163" s="9" t="s">
        <v>347</v>
      </c>
      <c r="B163" s="9" t="s">
        <v>348</v>
      </c>
      <c r="C163" s="15" t="n">
        <f aca="false">147.8/16/30</f>
        <v>0.307916666666667</v>
      </c>
      <c r="D163" s="16"/>
      <c r="E163" s="18" t="s">
        <v>31</v>
      </c>
      <c r="F163" s="17"/>
      <c r="AMJ163" s="0"/>
    </row>
    <row r="164" customFormat="false" ht="15" hidden="false" customHeight="false" outlineLevel="0" collapsed="false">
      <c r="A164" s="9" t="s">
        <v>349</v>
      </c>
      <c r="B164" s="9" t="s">
        <v>348</v>
      </c>
      <c r="C164" s="15" t="n">
        <f aca="false">147.8/16/30</f>
        <v>0.307916666666667</v>
      </c>
      <c r="D164" s="16"/>
      <c r="E164" s="18" t="s">
        <v>31</v>
      </c>
      <c r="F164" s="3" t="n">
        <v>1</v>
      </c>
      <c r="AMJ164" s="0"/>
    </row>
    <row r="165" customFormat="false" ht="15" hidden="false" customHeight="false" outlineLevel="0" collapsed="false">
      <c r="A165" s="1" t="s">
        <v>350</v>
      </c>
      <c r="B165" s="1" t="s">
        <v>351</v>
      </c>
      <c r="C165" s="19" t="n">
        <f aca="false">28.95/16/30</f>
        <v>0.0603125</v>
      </c>
      <c r="D165" s="16"/>
      <c r="E165" s="1" t="s">
        <v>152</v>
      </c>
      <c r="F165" s="17"/>
      <c r="AMJ165" s="0"/>
    </row>
    <row r="166" customFormat="false" ht="15" hidden="false" customHeight="false" outlineLevel="0" collapsed="false">
      <c r="A166" s="9" t="s">
        <v>352</v>
      </c>
      <c r="B166" s="9" t="s">
        <v>353</v>
      </c>
      <c r="C166" s="15" t="n">
        <f aca="false">172/1000</f>
        <v>0.172</v>
      </c>
      <c r="D166" s="16"/>
      <c r="E166" s="18" t="s">
        <v>7</v>
      </c>
      <c r="F166" s="17"/>
      <c r="AMJ166" s="0"/>
    </row>
    <row r="167" customFormat="false" ht="15" hidden="false" customHeight="false" outlineLevel="0" collapsed="false">
      <c r="A167" s="22" t="s">
        <v>354</v>
      </c>
      <c r="B167" s="22" t="s">
        <v>355</v>
      </c>
      <c r="C167" s="23" t="n">
        <f aca="false">80.85/7.5/30</f>
        <v>0.359333333333333</v>
      </c>
      <c r="D167" s="22"/>
      <c r="E167" s="22" t="s">
        <v>95</v>
      </c>
      <c r="F167" s="0"/>
      <c r="AMJ167" s="0"/>
    </row>
    <row r="168" customFormat="false" ht="15" hidden="false" customHeight="false" outlineLevel="0" collapsed="false">
      <c r="A168" s="9" t="s">
        <v>356</v>
      </c>
      <c r="B168" s="9" t="s">
        <v>357</v>
      </c>
      <c r="C168" s="15" t="n">
        <f aca="false">36.92/128/30</f>
        <v>0.00961458333333333</v>
      </c>
      <c r="D168" s="16"/>
      <c r="E168" s="18" t="s">
        <v>76</v>
      </c>
      <c r="F168" s="17"/>
      <c r="AMJ168" s="0"/>
    </row>
    <row r="169" customFormat="false" ht="15" hidden="false" customHeight="false" outlineLevel="0" collapsed="false">
      <c r="A169" s="9" t="s">
        <v>358</v>
      </c>
      <c r="B169" s="9" t="s">
        <v>359</v>
      </c>
      <c r="C169" s="15" t="n">
        <f aca="false">40.8/1.8/30</f>
        <v>0.755555555555555</v>
      </c>
      <c r="D169" s="16"/>
      <c r="E169" s="18" t="s">
        <v>7</v>
      </c>
      <c r="F169" s="17"/>
      <c r="AMJ169" s="0"/>
    </row>
    <row r="170" customFormat="false" ht="15" hidden="false" customHeight="false" outlineLevel="0" collapsed="false">
      <c r="A170" s="1" t="s">
        <v>360</v>
      </c>
      <c r="B170" s="1" t="s">
        <v>361</v>
      </c>
      <c r="C170" s="19" t="n">
        <f aca="false">27.9/60</f>
        <v>0.465</v>
      </c>
      <c r="D170" s="16"/>
      <c r="E170" s="1" t="s">
        <v>15</v>
      </c>
      <c r="F170" s="17"/>
      <c r="AMJ170" s="0"/>
    </row>
    <row r="171" customFormat="false" ht="15" hidden="false" customHeight="false" outlineLevel="0" collapsed="false">
      <c r="A171" s="1" t="s">
        <v>362</v>
      </c>
      <c r="B171" s="1" t="s">
        <v>363</v>
      </c>
      <c r="C171" s="19" t="n">
        <f aca="false">40.8/50</f>
        <v>0.816</v>
      </c>
      <c r="D171" s="16"/>
      <c r="E171" s="1" t="s">
        <v>15</v>
      </c>
      <c r="F171" s="17"/>
      <c r="AMJ171" s="0"/>
    </row>
    <row r="172" customFormat="false" ht="15" hidden="false" customHeight="false" outlineLevel="0" collapsed="false">
      <c r="A172" s="9" t="s">
        <v>364</v>
      </c>
      <c r="B172" s="9" t="s">
        <v>365</v>
      </c>
      <c r="C172" s="15" t="s">
        <v>366</v>
      </c>
      <c r="D172" s="16"/>
      <c r="E172" s="18" t="s">
        <v>28</v>
      </c>
      <c r="F172" s="17"/>
      <c r="AMJ172" s="0"/>
    </row>
    <row r="173" customFormat="false" ht="15" hidden="false" customHeight="false" outlineLevel="0" collapsed="false">
      <c r="A173" s="22" t="s">
        <v>367</v>
      </c>
      <c r="B173" s="22" t="s">
        <v>368</v>
      </c>
      <c r="C173" s="23" t="n">
        <f aca="false">25.5/6/30</f>
        <v>0.141666666666667</v>
      </c>
      <c r="D173" s="22"/>
      <c r="E173" s="22" t="s">
        <v>95</v>
      </c>
      <c r="F173" s="0"/>
      <c r="AMJ173" s="0"/>
    </row>
    <row r="174" customFormat="false" ht="15" hidden="false" customHeight="false" outlineLevel="0" collapsed="false">
      <c r="A174" s="1" t="s">
        <v>369</v>
      </c>
      <c r="B174" s="1" t="s">
        <v>370</v>
      </c>
      <c r="C174" s="19" t="n">
        <f aca="false">3.5/16/30</f>
        <v>0.00729166666666667</v>
      </c>
      <c r="D174" s="16"/>
      <c r="E174" s="1" t="s">
        <v>31</v>
      </c>
      <c r="F174" s="16"/>
      <c r="AMJ174" s="0"/>
    </row>
    <row r="175" customFormat="false" ht="15" hidden="false" customHeight="false" outlineLevel="0" collapsed="false">
      <c r="A175" s="22" t="s">
        <v>371</v>
      </c>
      <c r="B175" s="22" t="s">
        <v>372</v>
      </c>
      <c r="C175" s="23" t="n">
        <f aca="false">17/500</f>
        <v>0.034</v>
      </c>
      <c r="D175" s="28"/>
      <c r="E175" s="22" t="s">
        <v>15</v>
      </c>
      <c r="F175" s="17"/>
      <c r="AMJ175" s="0"/>
    </row>
    <row r="176" customFormat="false" ht="15" hidden="false" customHeight="false" outlineLevel="0" collapsed="false">
      <c r="A176" s="9" t="s">
        <v>373</v>
      </c>
      <c r="B176" s="9" t="s">
        <v>374</v>
      </c>
      <c r="C176" s="15" t="n">
        <f aca="false">60.95/500</f>
        <v>0.1219</v>
      </c>
      <c r="D176" s="16"/>
      <c r="E176" s="18"/>
      <c r="F176" s="17"/>
      <c r="AMJ176" s="0"/>
    </row>
    <row r="177" customFormat="false" ht="15" hidden="false" customHeight="false" outlineLevel="0" collapsed="false">
      <c r="A177" s="9" t="s">
        <v>375</v>
      </c>
      <c r="B177" s="9" t="s">
        <v>376</v>
      </c>
      <c r="C177" s="15" t="n">
        <f aca="false">197.69/64/30</f>
        <v>0.102963541666667</v>
      </c>
      <c r="D177" s="16"/>
      <c r="E177" s="18"/>
      <c r="F177" s="17"/>
      <c r="AMJ177" s="0"/>
    </row>
    <row r="178" customFormat="false" ht="15" hidden="false" customHeight="false" outlineLevel="0" collapsed="false">
      <c r="A178" s="9" t="s">
        <v>377</v>
      </c>
      <c r="B178" s="9" t="s">
        <v>378</v>
      </c>
      <c r="C178" s="15" t="n">
        <f aca="false">18/20</f>
        <v>0.9</v>
      </c>
      <c r="D178" s="16"/>
      <c r="E178" s="18" t="s">
        <v>31</v>
      </c>
      <c r="F178" s="17"/>
      <c r="AMJ178" s="0"/>
    </row>
    <row r="179" customFormat="false" ht="15" hidden="false" customHeight="false" outlineLevel="0" collapsed="false">
      <c r="A179" s="9" t="s">
        <v>379</v>
      </c>
      <c r="B179" s="9" t="s">
        <v>380</v>
      </c>
      <c r="C179" s="15" t="n">
        <f aca="false">183.7/(8.4*16)/30</f>
        <v>0.0455605158730159</v>
      </c>
      <c r="D179" s="16"/>
      <c r="E179" s="18" t="s">
        <v>76</v>
      </c>
      <c r="F179" s="17"/>
      <c r="AMJ179" s="0"/>
    </row>
    <row r="180" customFormat="false" ht="15" hidden="false" customHeight="false" outlineLevel="0" collapsed="false">
      <c r="A180" s="1" t="s">
        <v>379</v>
      </c>
      <c r="B180" s="1" t="s">
        <v>381</v>
      </c>
      <c r="C180" s="19" t="n">
        <f aca="false">183.7/3.8/1000</f>
        <v>0.0483421052631579</v>
      </c>
      <c r="D180" s="16"/>
      <c r="E180" s="1" t="s">
        <v>15</v>
      </c>
      <c r="F180" s="17"/>
      <c r="AMJ180" s="0"/>
    </row>
    <row r="181" customFormat="false" ht="15" hidden="false" customHeight="false" outlineLevel="0" collapsed="false">
      <c r="A181" s="22" t="s">
        <v>379</v>
      </c>
      <c r="B181" s="22" t="s">
        <v>382</v>
      </c>
      <c r="C181" s="23" t="n">
        <f aca="false">183/3800</f>
        <v>0.0481578947368421</v>
      </c>
      <c r="D181" s="22"/>
      <c r="E181" s="22" t="s">
        <v>7</v>
      </c>
      <c r="F181" s="0"/>
      <c r="AMJ181" s="0"/>
    </row>
    <row r="182" customFormat="false" ht="15" hidden="false" customHeight="false" outlineLevel="0" collapsed="false">
      <c r="A182" s="22" t="s">
        <v>383</v>
      </c>
      <c r="B182" s="22" t="s">
        <v>384</v>
      </c>
      <c r="C182" s="23" t="n">
        <f aca="false">73.1/2.2/16/30</f>
        <v>0.0692234848484848</v>
      </c>
      <c r="D182" s="28"/>
      <c r="E182" s="22" t="s">
        <v>15</v>
      </c>
      <c r="F182" s="17"/>
      <c r="AMJ182" s="0"/>
    </row>
    <row r="183" customFormat="false" ht="15" hidden="false" customHeight="false" outlineLevel="0" collapsed="false">
      <c r="A183" s="1" t="s">
        <v>385</v>
      </c>
      <c r="B183" s="1" t="s">
        <v>386</v>
      </c>
      <c r="C183" s="19" t="n">
        <f aca="false">18.48/400</f>
        <v>0.0462</v>
      </c>
      <c r="D183" s="1" t="s">
        <v>45</v>
      </c>
      <c r="E183" s="1" t="s">
        <v>387</v>
      </c>
      <c r="F183" s="16"/>
      <c r="AMJ183" s="0"/>
    </row>
    <row r="184" customFormat="false" ht="15" hidden="false" customHeight="false" outlineLevel="0" collapsed="false">
      <c r="A184" s="9" t="s">
        <v>388</v>
      </c>
      <c r="B184" s="9" t="s">
        <v>389</v>
      </c>
      <c r="C184" s="15" t="n">
        <f aca="false">20.25/128/30</f>
        <v>0.0052734375</v>
      </c>
      <c r="D184" s="16"/>
      <c r="E184" s="18" t="s">
        <v>76</v>
      </c>
      <c r="F184" s="17" t="n">
        <v>1</v>
      </c>
    </row>
    <row r="185" customFormat="false" ht="15" hidden="false" customHeight="false" outlineLevel="0" collapsed="false">
      <c r="A185" s="9" t="s">
        <v>390</v>
      </c>
      <c r="B185" s="9" t="s">
        <v>391</v>
      </c>
      <c r="C185" s="15" t="n">
        <f aca="false">251/3785.41</f>
        <v>0.0663072163913552</v>
      </c>
      <c r="D185" s="16"/>
      <c r="E185" s="18" t="s">
        <v>31</v>
      </c>
      <c r="F185" s="17" t="n">
        <v>1</v>
      </c>
    </row>
    <row r="186" customFormat="false" ht="15" hidden="false" customHeight="false" outlineLevel="0" collapsed="false">
      <c r="A186" s="9" t="s">
        <v>392</v>
      </c>
      <c r="B186" s="9" t="s">
        <v>393</v>
      </c>
      <c r="C186" s="15" t="n">
        <f aca="false">8/60</f>
        <v>0.133333333333333</v>
      </c>
      <c r="D186" s="9" t="s">
        <v>394</v>
      </c>
      <c r="E186" s="18"/>
      <c r="F186" s="17"/>
    </row>
    <row r="187" customFormat="false" ht="15" hidden="false" customHeight="false" outlineLevel="0" collapsed="false">
      <c r="A187" s="9" t="s">
        <v>395</v>
      </c>
      <c r="B187" s="9" t="s">
        <v>396</v>
      </c>
      <c r="C187" s="15" t="n">
        <f aca="false">32/4/30</f>
        <v>0.266666666666667</v>
      </c>
      <c r="D187" s="16"/>
      <c r="E187" s="18"/>
      <c r="F187" s="17" t="n">
        <v>1</v>
      </c>
    </row>
    <row r="188" customFormat="false" ht="15" hidden="false" customHeight="false" outlineLevel="0" collapsed="false">
      <c r="A188" s="9" t="s">
        <v>397</v>
      </c>
      <c r="B188" s="9" t="s">
        <v>398</v>
      </c>
      <c r="C188" s="15" t="n">
        <f aca="false">49.95/30</f>
        <v>1.665</v>
      </c>
      <c r="D188" s="16"/>
      <c r="E188" s="18"/>
      <c r="F188" s="17"/>
    </row>
    <row r="189" customFormat="false" ht="15" hidden="false" customHeight="false" outlineLevel="0" collapsed="false">
      <c r="A189" s="9" t="s">
        <v>399</v>
      </c>
      <c r="B189" s="9" t="s">
        <v>400</v>
      </c>
      <c r="C189" s="15" t="n">
        <f aca="false">95/16/30</f>
        <v>0.197916666666667</v>
      </c>
      <c r="D189" s="16"/>
      <c r="E189" s="18" t="s">
        <v>10</v>
      </c>
      <c r="F189" s="17"/>
    </row>
    <row r="190" customFormat="false" ht="15" hidden="false" customHeight="false" outlineLevel="0" collapsed="false">
      <c r="A190" s="9" t="s">
        <v>401</v>
      </c>
      <c r="B190" s="9" t="s">
        <v>402</v>
      </c>
      <c r="C190" s="15" t="n">
        <v>1</v>
      </c>
      <c r="D190" s="16"/>
      <c r="E190" s="18"/>
      <c r="F190" s="17"/>
    </row>
    <row r="191" customFormat="false" ht="15" hidden="false" customHeight="false" outlineLevel="0" collapsed="false">
      <c r="A191" s="22" t="s">
        <v>403</v>
      </c>
      <c r="B191" s="22" t="s">
        <v>404</v>
      </c>
      <c r="C191" s="23" t="n">
        <f aca="false">34/500</f>
        <v>0.068</v>
      </c>
      <c r="D191" s="22"/>
      <c r="E191" s="22" t="s">
        <v>7</v>
      </c>
      <c r="F191" s="0"/>
    </row>
    <row r="192" customFormat="false" ht="15" hidden="false" customHeight="false" outlineLevel="0" collapsed="false">
      <c r="A192" s="21" t="s">
        <v>405</v>
      </c>
      <c r="B192" s="16" t="s">
        <v>406</v>
      </c>
      <c r="C192" s="20" t="n">
        <f aca="false">6.49/24/30</f>
        <v>0.00901388888888889</v>
      </c>
      <c r="D192" s="16"/>
      <c r="E192" s="1" t="s">
        <v>407</v>
      </c>
      <c r="F192" s="16"/>
    </row>
    <row r="193" customFormat="false" ht="15" hidden="false" customHeight="false" outlineLevel="0" collapsed="false">
      <c r="A193" s="9" t="s">
        <v>408</v>
      </c>
      <c r="B193" s="9" t="s">
        <v>409</v>
      </c>
      <c r="C193" s="15" t="n">
        <f aca="false">26.16/16/30</f>
        <v>0.0545</v>
      </c>
      <c r="D193" s="16"/>
      <c r="E193" s="18"/>
      <c r="F193" s="17"/>
    </row>
    <row r="194" customFormat="false" ht="15" hidden="false" customHeight="false" outlineLevel="0" collapsed="false">
      <c r="A194" s="9" t="s">
        <v>410</v>
      </c>
      <c r="B194" s="9" t="s">
        <v>411</v>
      </c>
      <c r="C194" s="15" t="n">
        <f aca="false">30.5/4/30</f>
        <v>0.254166666666667</v>
      </c>
      <c r="D194" s="16"/>
      <c r="E194" s="18" t="s">
        <v>31</v>
      </c>
      <c r="F194" s="17"/>
    </row>
    <row r="195" customFormat="false" ht="15" hidden="false" customHeight="false" outlineLevel="0" collapsed="false">
      <c r="A195" s="9" t="s">
        <v>412</v>
      </c>
      <c r="B195" s="9" t="s">
        <v>413</v>
      </c>
      <c r="C195" s="15" t="n">
        <v>0.3158364467</v>
      </c>
      <c r="D195" s="16"/>
      <c r="E195" s="18" t="s">
        <v>86</v>
      </c>
      <c r="F195" s="17"/>
    </row>
    <row r="196" customFormat="false" ht="15" hidden="false" customHeight="false" outlineLevel="0" collapsed="false">
      <c r="A196" s="9" t="s">
        <v>414</v>
      </c>
      <c r="B196" s="9" t="s">
        <v>415</v>
      </c>
      <c r="C196" s="15" t="n">
        <f aca="false">37.3/300</f>
        <v>0.124333333333333</v>
      </c>
      <c r="D196" s="16"/>
      <c r="E196" s="18" t="s">
        <v>7</v>
      </c>
      <c r="F196" s="17" t="n">
        <v>1</v>
      </c>
    </row>
    <row r="197" customFormat="false" ht="15" hidden="false" customHeight="false" outlineLevel="0" collapsed="false">
      <c r="A197" s="9" t="s">
        <v>416</v>
      </c>
      <c r="B197" s="9" t="s">
        <v>417</v>
      </c>
      <c r="C197" s="15" t="n">
        <f aca="false">564/1000</f>
        <v>0.564</v>
      </c>
      <c r="D197" s="16"/>
      <c r="E197" s="18" t="s">
        <v>7</v>
      </c>
      <c r="F197" s="17"/>
    </row>
    <row r="198" customFormat="false" ht="15" hidden="false" customHeight="false" outlineLevel="0" collapsed="false">
      <c r="A198" s="26" t="s">
        <v>418</v>
      </c>
      <c r="B198" s="26" t="s">
        <v>419</v>
      </c>
      <c r="C198" s="27" t="n">
        <f aca="false">279/6.6/16/30</f>
        <v>0.0880681818181818</v>
      </c>
      <c r="D198" s="28"/>
      <c r="E198" s="29" t="s">
        <v>7</v>
      </c>
      <c r="F198" s="35" t="n">
        <v>1</v>
      </c>
    </row>
    <row r="199" customFormat="false" ht="15" hidden="false" customHeight="false" outlineLevel="0" collapsed="false">
      <c r="A199" s="1" t="s">
        <v>420</v>
      </c>
      <c r="B199" s="1" t="s">
        <v>421</v>
      </c>
      <c r="C199" s="19" t="n">
        <f aca="false">19.75/8</f>
        <v>2.46875</v>
      </c>
      <c r="D199" s="16"/>
      <c r="E199" s="1" t="s">
        <v>95</v>
      </c>
    </row>
    <row r="200" customFormat="false" ht="15" hidden="false" customHeight="false" outlineLevel="0" collapsed="false">
      <c r="A200" s="9" t="s">
        <v>422</v>
      </c>
      <c r="B200" s="9" t="s">
        <v>423</v>
      </c>
      <c r="C200" s="15" t="n">
        <f aca="false">448/3785.41</f>
        <v>0.118349135232379</v>
      </c>
      <c r="D200" s="16"/>
      <c r="E200" s="18" t="s">
        <v>31</v>
      </c>
    </row>
    <row r="201" customFormat="false" ht="15" hidden="false" customHeight="false" outlineLevel="0" collapsed="false">
      <c r="A201" s="9" t="s">
        <v>424</v>
      </c>
      <c r="B201" s="9" t="s">
        <v>415</v>
      </c>
      <c r="C201" s="15" t="n">
        <f aca="false">37.3/300</f>
        <v>0.124333333333333</v>
      </c>
      <c r="D201" s="16"/>
      <c r="E201" s="18" t="s">
        <v>7</v>
      </c>
    </row>
    <row r="202" customFormat="false" ht="15" hidden="false" customHeight="false" outlineLevel="0" collapsed="false">
      <c r="A202" s="9" t="s">
        <v>425</v>
      </c>
      <c r="B202" s="9" t="s">
        <v>426</v>
      </c>
      <c r="C202" s="15" t="n">
        <f aca="false">139.78/128/30</f>
        <v>0.0364010416666667</v>
      </c>
      <c r="D202" s="16"/>
      <c r="E202" s="18"/>
    </row>
    <row r="203" customFormat="false" ht="15" hidden="false" customHeight="false" outlineLevel="0" collapsed="false">
      <c r="A203" s="9" t="s">
        <v>427</v>
      </c>
      <c r="B203" s="9" t="s">
        <v>428</v>
      </c>
      <c r="C203" s="15" t="n">
        <f aca="false">190.55/3785.41</f>
        <v>0.0503380083002898</v>
      </c>
      <c r="D203" s="16"/>
      <c r="E203" s="18" t="s">
        <v>152</v>
      </c>
    </row>
    <row r="204" customFormat="false" ht="15" hidden="false" customHeight="false" outlineLevel="0" collapsed="false">
      <c r="A204" s="1" t="s">
        <v>429</v>
      </c>
      <c r="B204" s="1" t="s">
        <v>430</v>
      </c>
      <c r="C204" s="19" t="n">
        <f aca="false">51.9/250</f>
        <v>0.2076</v>
      </c>
      <c r="D204" s="16"/>
      <c r="E204" s="1" t="s">
        <v>15</v>
      </c>
    </row>
    <row r="205" customFormat="false" ht="15" hidden="false" customHeight="false" outlineLevel="0" collapsed="false">
      <c r="A205" s="9" t="s">
        <v>431</v>
      </c>
      <c r="B205" s="9" t="s">
        <v>432</v>
      </c>
      <c r="C205" s="15" t="n">
        <f aca="false">69/600</f>
        <v>0.115</v>
      </c>
      <c r="D205" s="16"/>
      <c r="E205" s="18" t="s">
        <v>31</v>
      </c>
    </row>
    <row r="206" customFormat="false" ht="15" hidden="false" customHeight="false" outlineLevel="0" collapsed="false">
      <c r="A206" s="9" t="s">
        <v>433</v>
      </c>
      <c r="B206" s="9" t="s">
        <v>434</v>
      </c>
      <c r="C206" s="15" t="n">
        <f aca="false">5/8/30</f>
        <v>0.0208333333333333</v>
      </c>
      <c r="D206" s="0"/>
      <c r="E206" s="18" t="s">
        <v>180</v>
      </c>
    </row>
    <row r="207" customFormat="false" ht="15" hidden="false" customHeight="false" outlineLevel="0" collapsed="false">
      <c r="A207" s="1" t="s">
        <v>435</v>
      </c>
      <c r="B207" s="1" t="s">
        <v>436</v>
      </c>
      <c r="C207" s="19" t="n">
        <f aca="false">20.9/30</f>
        <v>0.696666666666667</v>
      </c>
      <c r="D207" s="0"/>
      <c r="E207" s="1" t="s">
        <v>95</v>
      </c>
    </row>
    <row r="208" customFormat="false" ht="15" hidden="false" customHeight="false" outlineLevel="0" collapsed="false">
      <c r="A208" s="9" t="s">
        <v>437</v>
      </c>
      <c r="B208" s="9" t="s">
        <v>438</v>
      </c>
      <c r="C208" s="15" t="n">
        <f aca="false">459.01/16/30</f>
        <v>0.956270833333333</v>
      </c>
      <c r="D208" s="0"/>
      <c r="E208" s="18"/>
    </row>
    <row r="209" customFormat="false" ht="15" hidden="false" customHeight="false" outlineLevel="0" collapsed="false">
      <c r="A209" s="9" t="s">
        <v>439</v>
      </c>
      <c r="B209" s="9" t="s">
        <v>440</v>
      </c>
      <c r="C209" s="15" t="n">
        <f aca="false">33.7/250</f>
        <v>0.1348</v>
      </c>
      <c r="D209" s="0"/>
      <c r="E209" s="18" t="s">
        <v>7</v>
      </c>
    </row>
    <row r="210" customFormat="false" ht="15" hidden="false" customHeight="false" outlineLevel="0" collapsed="false">
      <c r="A210" s="22" t="s">
        <v>441</v>
      </c>
      <c r="B210" s="22" t="s">
        <v>442</v>
      </c>
      <c r="C210" s="23" t="n">
        <f aca="false">675/22/16/30</f>
        <v>0.0639204545454545</v>
      </c>
      <c r="D210" s="22"/>
      <c r="E210" s="22" t="s">
        <v>15</v>
      </c>
    </row>
    <row r="211" customFormat="false" ht="15" hidden="false" customHeight="false" outlineLevel="0" collapsed="false">
      <c r="A211" s="36" t="s">
        <v>443</v>
      </c>
      <c r="B211" s="36" t="s">
        <v>444</v>
      </c>
      <c r="C211" s="37" t="n">
        <f aca="false">17.5/1.06/30</f>
        <v>0.550314465408805</v>
      </c>
      <c r="D211" s="36"/>
      <c r="E211" s="36" t="s">
        <v>39</v>
      </c>
    </row>
    <row r="1048570" customFormat="false" ht="12.85" hidden="false" customHeight="false" outlineLevel="0" collapsed="false"/>
    <row r="1048571" customFormat="false" ht="12.85" hidden="false" customHeight="false" outlineLevel="0" collapsed="false"/>
    <row r="1048572" customFormat="false" ht="12.85" hidden="false" customHeight="false" outlineLevel="0" collapsed="false"/>
    <row r="1048573" customFormat="false" ht="12.85" hidden="false" customHeight="false" outlineLevel="0" collapsed="false"/>
  </sheetData>
  <printOptions headings="false" gridLines="true" gridLinesSet="true" horizontalCentered="false" verticalCentered="false"/>
  <pageMargins left="0.747916666666667" right="0.747916666666667" top="0.914583333333333" bottom="0.984027777777778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en-US</dc:language>
  <cp:lastPrinted>2016-02-28T20:11:57Z</cp:lastPrinted>
  <cp:revision>0</cp:revision>
</cp:coreProperties>
</file>